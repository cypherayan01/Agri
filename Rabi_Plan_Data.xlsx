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929BY\Downloads\"/>
    </mc:Choice>
  </mc:AlternateContent>
  <xr:revisionPtr revIDLastSave="0" documentId="13_ncr:1_{478EF2F3-BF7A-4E87-B3C9-0285D8439CEC}" xr6:coauthVersionLast="47" xr6:coauthVersionMax="47" xr10:uidLastSave="{00000000-0000-0000-0000-000000000000}"/>
  <bookViews>
    <workbookView xWindow="-110" yWindow="-110" windowWidth="19420" windowHeight="10300" xr2:uid="{14290711-DA71-421D-AD6C-9BBF641D69AC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L12" i="1"/>
  <c r="I12" i="1"/>
  <c r="G12" i="1"/>
  <c r="L21" i="1"/>
  <c r="I21" i="1"/>
  <c r="G21" i="1"/>
  <c r="N2" i="1"/>
  <c r="L2" i="1"/>
  <c r="I2" i="1"/>
  <c r="G2" i="1"/>
  <c r="N10" i="1"/>
  <c r="L10" i="1"/>
  <c r="I10" i="1"/>
  <c r="G10" i="1"/>
  <c r="N16" i="1"/>
  <c r="L16" i="1"/>
  <c r="I16" i="1"/>
  <c r="G16" i="1"/>
  <c r="N6" i="1"/>
  <c r="L6" i="1"/>
  <c r="I6" i="1"/>
  <c r="G6" i="1"/>
  <c r="N5" i="1"/>
  <c r="L5" i="1"/>
  <c r="I5" i="1"/>
  <c r="G5" i="1"/>
  <c r="N22" i="1"/>
  <c r="L22" i="1"/>
  <c r="I22" i="1"/>
  <c r="G22" i="1"/>
  <c r="N28" i="1"/>
  <c r="L28" i="1"/>
  <c r="I28" i="1"/>
  <c r="G28" i="1"/>
  <c r="N27" i="1"/>
  <c r="L27" i="1"/>
  <c r="I27" i="1"/>
  <c r="G27" i="1"/>
  <c r="N7" i="1"/>
  <c r="L7" i="1"/>
  <c r="I7" i="1"/>
  <c r="G7" i="1"/>
  <c r="N19" i="1"/>
  <c r="L19" i="1"/>
  <c r="I19" i="1"/>
  <c r="G19" i="1"/>
  <c r="N26" i="1"/>
  <c r="L26" i="1"/>
  <c r="I26" i="1"/>
  <c r="G26" i="1"/>
  <c r="N11" i="1"/>
  <c r="L11" i="1"/>
  <c r="I11" i="1"/>
  <c r="G11" i="1"/>
  <c r="N25" i="1"/>
  <c r="L25" i="1"/>
  <c r="I25" i="1"/>
  <c r="G25" i="1"/>
  <c r="N20" i="1"/>
  <c r="L20" i="1"/>
  <c r="I20" i="1"/>
  <c r="G20" i="1"/>
  <c r="N13" i="1"/>
  <c r="L13" i="1"/>
  <c r="I13" i="1"/>
  <c r="G13" i="1"/>
  <c r="N9" i="1"/>
  <c r="L9" i="1"/>
  <c r="I9" i="1"/>
  <c r="G9" i="1"/>
  <c r="N15" i="1"/>
  <c r="L15" i="1"/>
  <c r="I15" i="1"/>
  <c r="G15" i="1"/>
  <c r="N3" i="1"/>
  <c r="L3" i="1"/>
  <c r="I3" i="1"/>
  <c r="G3" i="1"/>
  <c r="N24" i="1"/>
  <c r="L24" i="1"/>
  <c r="I24" i="1"/>
  <c r="G24" i="1"/>
</calcChain>
</file>

<file path=xl/sharedStrings.xml><?xml version="1.0" encoding="utf-8"?>
<sst xmlns="http://schemas.openxmlformats.org/spreadsheetml/2006/main" count="162" uniqueCount="126">
  <si>
    <t>S.No.</t>
  </si>
  <si>
    <t>State</t>
  </si>
  <si>
    <t>Total No. of Districts</t>
  </si>
  <si>
    <t>No. of Districts Targeted for Rabi DCS</t>
  </si>
  <si>
    <t>Total No. of Villages</t>
  </si>
  <si>
    <t>No. of Villages Geo-referenced</t>
  </si>
  <si>
    <t>% Villages geo-referenced</t>
  </si>
  <si>
    <t>No. of Villages Targeted for Rabi DCS</t>
  </si>
  <si>
    <t>% Villages targeted for Rabi DCS</t>
  </si>
  <si>
    <t>Total No. of Plots</t>
  </si>
  <si>
    <t>No. of Plots Geo-referenced</t>
  </si>
  <si>
    <t>% Plots geo-refenced</t>
  </si>
  <si>
    <t>No. of Plots Targeted for Rabi DCS</t>
  </si>
  <si>
    <t>% Plots targeted for Rabi DCS</t>
  </si>
  <si>
    <t>Rabi DCS Activity Start Date</t>
  </si>
  <si>
    <t>Rabi DCS Activity End Date</t>
  </si>
  <si>
    <t>Top 5 Rabi Crops Sown in the State</t>
  </si>
  <si>
    <t>Total Surveyors to Be Deployed</t>
  </si>
  <si>
    <t>Master Trainers Training – Conducted (Yes/No). If No, Proposed Date</t>
  </si>
  <si>
    <t>Surveyors Training – Conducted (Yes/No). If No, Proposed Date</t>
  </si>
  <si>
    <t>Tamil Nadu</t>
  </si>
  <si>
    <t>01.12.2025</t>
  </si>
  <si>
    <t>15.01.2026</t>
  </si>
  <si>
    <t>Rice, Maize, Blackgram, Jowar, Groundnut</t>
  </si>
  <si>
    <t>Yes</t>
  </si>
  <si>
    <t>Andhra Pradesh</t>
  </si>
  <si>
    <t>28.02.2026</t>
  </si>
  <si>
    <t>Paddy, Bengalgram, Blackgram, Maize, Groundnut</t>
  </si>
  <si>
    <t>Kerala</t>
  </si>
  <si>
    <t xml:space="preserve"> </t>
  </si>
  <si>
    <t>15.12.2025</t>
  </si>
  <si>
    <t>Rice, Vegetables, Banana, Legumes, Tubers</t>
  </si>
  <si>
    <t>Gujarat</t>
  </si>
  <si>
    <t>16.12.2025</t>
  </si>
  <si>
    <t>31.01.2026</t>
  </si>
  <si>
    <t>Wheat, Chickpea, Cumin, Mustard, Maize</t>
  </si>
  <si>
    <t>No, Planning for 3rd Dec</t>
  </si>
  <si>
    <t>No, Planning for 5th Dec by Master Trainers</t>
  </si>
  <si>
    <t>Jharkhand</t>
  </si>
  <si>
    <t>30.01.2026</t>
  </si>
  <si>
    <t>Wheat, Gram (Chana), Lentil (Masoor), Pea (Matar), Mustard</t>
  </si>
  <si>
    <t>50,000 approx</t>
  </si>
  <si>
    <t>No, 8th to 13th Dec</t>
  </si>
  <si>
    <t>Odisha</t>
  </si>
  <si>
    <t>Paddy, Greengram, Blackgram, Groundnut, Horsegram</t>
  </si>
  <si>
    <t>No, 10-15th Dec 2025</t>
  </si>
  <si>
    <t>Telangana</t>
  </si>
  <si>
    <t>10.01.2026</t>
  </si>
  <si>
    <t>Paddy, Maize, Jowar, Groundnut, Bengalgram</t>
  </si>
  <si>
    <t>No</t>
  </si>
  <si>
    <t>Himachal Pradesh</t>
  </si>
  <si>
    <t>15.03.2026</t>
  </si>
  <si>
    <t>Wheat, Potato, Pea, Mustard, Garlic, Cole Crop, Horticulture Crops (Citrus)</t>
  </si>
  <si>
    <t>At least 1 per Panchayat (Approx 3500 Panchayat)</t>
  </si>
  <si>
    <t xml:space="preserve">No, 15-12-25 to 20-12-25 </t>
  </si>
  <si>
    <t>Tripura</t>
  </si>
  <si>
    <t>15.02.2026</t>
  </si>
  <si>
    <t>Rice, Oil Seed, Pulse, Maize, Potato</t>
  </si>
  <si>
    <t>Mizoram</t>
  </si>
  <si>
    <t>Pea, Cabbage, Mustard, Tomato, Bean</t>
  </si>
  <si>
    <t>Chhattisgarh</t>
  </si>
  <si>
    <t>01.01.2026 (Approval pending at Administrative Level)</t>
  </si>
  <si>
    <t>15,02.2026 (Approval Pending at Administrative Level)</t>
  </si>
  <si>
    <t>चना,गहू, तबरा/लाख,राई/सरसो,अलसी</t>
  </si>
  <si>
    <t>Yes, on 27.11.2025</t>
  </si>
  <si>
    <t>Master Training conducted, Surveyors training will be conducted by Master Trainers in District</t>
  </si>
  <si>
    <t>Uttar Pradesh</t>
  </si>
  <si>
    <t>Not Confirmed</t>
  </si>
  <si>
    <t>01.01.2026</t>
  </si>
  <si>
    <t>Wheat, Mustard, Potato, Pea, Chana, Masoor</t>
  </si>
  <si>
    <t>No, Proposed in 3rd week of Dec</t>
  </si>
  <si>
    <t>Uttarakhand</t>
  </si>
  <si>
    <t>In Plain districts- 1st January 2026
In Hilly districts- 15th January 2026</t>
  </si>
  <si>
    <t>In Plain districts- 15th February 2026
In Hilly districts- 15th May 2026</t>
  </si>
  <si>
    <t>Wheat, Barley, Lentil (Masoor), Mustard, Pea</t>
  </si>
  <si>
    <t>No, in Dec 2nd week</t>
  </si>
  <si>
    <t>Rajasthan</t>
  </si>
  <si>
    <t>05.03.2026</t>
  </si>
  <si>
    <t>Wheat, Mustard, Chickpea (Gram), Barley, Cumin</t>
  </si>
  <si>
    <t>7,870 Pvt Surveyor + 7,714 Govt Patwari</t>
  </si>
  <si>
    <t>Proposed on 15.12.2025</t>
  </si>
  <si>
    <t>Proposed on 24.12.2025</t>
  </si>
  <si>
    <t>Assam</t>
  </si>
  <si>
    <t>05.01.2026</t>
  </si>
  <si>
    <t>20.02.2026</t>
  </si>
  <si>
    <t>Rape &amp; Mustard, Maize, Summer Paddy, Black Gram, Rabi Vegetables</t>
  </si>
  <si>
    <t>No, 19.12.2025</t>
  </si>
  <si>
    <t xml:space="preserve">No. Training shall be conducted by Mastrer Trainer before 31st Dec 2025 </t>
  </si>
  <si>
    <t>Bihar</t>
  </si>
  <si>
    <t>31.03.2026</t>
  </si>
  <si>
    <t>Wheat, Lentil, Chickpea, Maize, Indian Mustard</t>
  </si>
  <si>
    <t>No, Proposed by 3rd week of Dec</t>
  </si>
  <si>
    <t>Madhya Pradesh</t>
  </si>
  <si>
    <t>21.01.2026</t>
  </si>
  <si>
    <t>No,20.01.2026</t>
  </si>
  <si>
    <t>Haryana</t>
  </si>
  <si>
    <t>01.02.2026</t>
  </si>
  <si>
    <t>Wheat, Mustard, Gram, Barley, Potato</t>
  </si>
  <si>
    <t>No, Proposed date 17.12.2025</t>
  </si>
  <si>
    <t>Andaman &amp; Nicobar</t>
  </si>
  <si>
    <t>18.03.2026</t>
  </si>
  <si>
    <t>1.   Solanaceous crops(Chilli, Brinjal, Tomato etc.)
2.   Cucurbitaceous crops(Cucumber,Bottle gourd, Pumpkin, Water Melon etc.)
3.   Cole crops(Cabbage, Cauliflower, Knolkhol etc.)
4.   Malvaceae crops(Okra)
5.   Leafy Vegetable(Spinach, Amaranthus, Poi etc.)</t>
  </si>
  <si>
    <t>No, to be conducted in the 2nd week of Dec</t>
  </si>
  <si>
    <t>Punjab</t>
  </si>
  <si>
    <t>To be finalized</t>
  </si>
  <si>
    <t>15.02.2026 (tentative)</t>
  </si>
  <si>
    <t>15.04.2026 (tentative)</t>
  </si>
  <si>
    <t>Wheat, Gram, Barley, Rabi Oil Seeds, Lentil</t>
  </si>
  <si>
    <t>No, 1st week of Feb (tentative)</t>
  </si>
  <si>
    <t>Jammu &amp; Kashmir</t>
  </si>
  <si>
    <t>15.04.2026</t>
  </si>
  <si>
    <t>Oilseed, Wheat, Oats, Vegetables, Field pea</t>
  </si>
  <si>
    <t>No, Proposed Date 05.01.2026</t>
  </si>
  <si>
    <t>Goa</t>
  </si>
  <si>
    <t>Sikkim</t>
  </si>
  <si>
    <t>Manipur</t>
  </si>
  <si>
    <t>Arunachal Pradesh</t>
  </si>
  <si>
    <t>Maharashtra</t>
  </si>
  <si>
    <t>Karnataka</t>
  </si>
  <si>
    <t>Total Plots Surveyed</t>
  </si>
  <si>
    <t>17.12.2025</t>
  </si>
  <si>
    <t>28.12.2025</t>
  </si>
  <si>
    <t>10.12.2025</t>
  </si>
  <si>
    <t>10.03.2026</t>
  </si>
  <si>
    <t>01.01.2025</t>
  </si>
  <si>
    <t>15.01.2025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</si>
</sst>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3" fontId="0" fillId="3" borderId="1" xfId="0" applyNumberForma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left"/>
    </xf>
    <xf numFmtId="9" fontId="0" fillId="4" borderId="1" xfId="2" applyFont="1" applyFill="1" applyBorder="1" applyAlignment="1">
      <alignment horizontal="left"/>
    </xf>
    <xf numFmtId="0" fontId="0" fillId="4" borderId="1" xfId="0" applyFill="1" applyBorder="1" applyAlignment="1">
      <alignment horizontal="left" wrapText="1"/>
    </xf>
    <xf numFmtId="3" fontId="0" fillId="4" borderId="1" xfId="0" applyNumberFormat="1" applyFill="1" applyBorder="1" applyAlignment="1">
      <alignment horizontal="left" wrapText="1"/>
    </xf>
    <xf numFmtId="0" fontId="4" fillId="4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9" fontId="0" fillId="0" borderId="1" xfId="2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9" fontId="4" fillId="0" borderId="1" xfId="2" applyFont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3" fontId="9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3" fontId="0" fillId="0" borderId="1" xfId="0" applyNumberFormat="1" applyBorder="1"/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1" fontId="0" fillId="4" borderId="1" xfId="1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93FE-94E2-4623-8F5E-240264E2976A}">
  <dimension ref="A1:U29"/>
  <sheetViews>
    <sheetView tabSelected="1" topLeftCell="A11" zoomScale="63" workbookViewId="0">
      <selection activeCell="Q36" sqref="Q36"/>
    </sheetView>
  </sheetViews>
  <sheetFormatPr defaultRowHeight="14.5" x14ac:dyDescent="0.35"/>
  <cols>
    <col min="1" max="1" width="8.81640625" bestFit="1" customWidth="1"/>
    <col min="3" max="9" width="8.81640625" bestFit="1" customWidth="1"/>
    <col min="10" max="10" width="37.08984375" customWidth="1"/>
    <col min="11" max="11" width="10.7265625" bestFit="1" customWidth="1"/>
    <col min="12" max="12" width="8.81640625" bestFit="1" customWidth="1"/>
    <col min="13" max="13" width="44.81640625" customWidth="1"/>
    <col min="14" max="14" width="8.81640625" bestFit="1" customWidth="1"/>
    <col min="15" max="15" width="18.81640625" customWidth="1"/>
    <col min="16" max="16" width="19.453125" customWidth="1"/>
    <col min="17" max="17" width="20.453125" customWidth="1"/>
    <col min="18" max="18" width="42.08984375" customWidth="1"/>
  </cols>
  <sheetData>
    <row r="1" spans="1:21" ht="14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4" t="s">
        <v>12</v>
      </c>
      <c r="N1" s="2" t="s">
        <v>13</v>
      </c>
      <c r="O1" s="2" t="s">
        <v>14</v>
      </c>
      <c r="P1" s="2" t="s">
        <v>15</v>
      </c>
      <c r="Q1" s="33" t="s">
        <v>119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12.5" customHeight="1" x14ac:dyDescent="0.35">
      <c r="A2" s="15">
        <v>19</v>
      </c>
      <c r="B2" s="15" t="s">
        <v>99</v>
      </c>
      <c r="C2" s="16">
        <v>3</v>
      </c>
      <c r="D2" s="16">
        <v>3</v>
      </c>
      <c r="E2" s="17">
        <v>204</v>
      </c>
      <c r="F2" s="16">
        <v>177</v>
      </c>
      <c r="G2" s="19">
        <f>F2/E2</f>
        <v>0.86764705882352944</v>
      </c>
      <c r="H2" s="16">
        <v>177</v>
      </c>
      <c r="I2" s="19">
        <f>H2/E2</f>
        <v>0.86764705882352944</v>
      </c>
      <c r="J2" s="18">
        <v>31527</v>
      </c>
      <c r="K2" s="18">
        <v>25410</v>
      </c>
      <c r="L2" s="19">
        <f>K2/J2</f>
        <v>0.80597583024074604</v>
      </c>
      <c r="M2" s="18">
        <v>25410</v>
      </c>
      <c r="N2" s="19">
        <f>M2/J2</f>
        <v>0.80597583024074604</v>
      </c>
      <c r="O2" s="16" t="s">
        <v>96</v>
      </c>
      <c r="P2" s="16" t="s">
        <v>100</v>
      </c>
      <c r="Q2" s="18"/>
      <c r="R2" s="17" t="s">
        <v>101</v>
      </c>
      <c r="S2" s="16">
        <v>177</v>
      </c>
      <c r="T2" s="16" t="s">
        <v>24</v>
      </c>
      <c r="U2" s="17" t="s">
        <v>102</v>
      </c>
    </row>
    <row r="3" spans="1:21" x14ac:dyDescent="0.35">
      <c r="A3" s="3">
        <v>2</v>
      </c>
      <c r="B3" s="3" t="s">
        <v>25</v>
      </c>
      <c r="C3" s="4">
        <v>26</v>
      </c>
      <c r="D3" s="4">
        <v>26</v>
      </c>
      <c r="E3" s="6">
        <v>17558</v>
      </c>
      <c r="F3" s="6">
        <v>13147</v>
      </c>
      <c r="G3" s="7">
        <f>F3/E3</f>
        <v>0.74877548695751228</v>
      </c>
      <c r="H3" s="6">
        <v>14296</v>
      </c>
      <c r="I3" s="7">
        <f>H3/E3</f>
        <v>0.81421574211185788</v>
      </c>
      <c r="J3" s="6">
        <v>13191602</v>
      </c>
      <c r="K3" s="6">
        <v>11559292</v>
      </c>
      <c r="L3" s="7">
        <f>K3/J3</f>
        <v>0.87626142753548808</v>
      </c>
      <c r="M3" s="10">
        <v>13191602</v>
      </c>
      <c r="N3" s="7">
        <f>M3/J3</f>
        <v>1</v>
      </c>
      <c r="O3" s="9" t="s">
        <v>120</v>
      </c>
      <c r="P3" s="9" t="s">
        <v>26</v>
      </c>
      <c r="Q3" s="10">
        <v>928512</v>
      </c>
      <c r="R3" s="4" t="s">
        <v>27</v>
      </c>
      <c r="S3" s="6">
        <v>9000</v>
      </c>
      <c r="T3" s="4" t="s">
        <v>24</v>
      </c>
      <c r="U3" s="4" t="s">
        <v>24</v>
      </c>
    </row>
    <row r="4" spans="1:21" x14ac:dyDescent="0.35">
      <c r="A4" s="15">
        <v>25</v>
      </c>
      <c r="B4" s="15" t="s">
        <v>116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145" x14ac:dyDescent="0.35">
      <c r="A5" s="15">
        <v>15</v>
      </c>
      <c r="B5" s="15" t="s">
        <v>82</v>
      </c>
      <c r="C5" s="16">
        <v>35</v>
      </c>
      <c r="D5" s="16">
        <v>30</v>
      </c>
      <c r="E5" s="18">
        <v>18407</v>
      </c>
      <c r="F5" s="18">
        <v>16237</v>
      </c>
      <c r="G5" s="19">
        <f>F5/E5</f>
        <v>0.88211006682240456</v>
      </c>
      <c r="H5" s="18">
        <v>12983</v>
      </c>
      <c r="I5" s="19">
        <f>H5/E5</f>
        <v>0.70532949421415769</v>
      </c>
      <c r="J5" s="18">
        <v>3909970</v>
      </c>
      <c r="K5" s="18">
        <v>3909970</v>
      </c>
      <c r="L5" s="19">
        <f>K5/J5</f>
        <v>1</v>
      </c>
      <c r="M5" s="10">
        <v>3909970</v>
      </c>
      <c r="N5" s="19">
        <f>M5/J5</f>
        <v>1</v>
      </c>
      <c r="O5" s="16" t="s">
        <v>83</v>
      </c>
      <c r="P5" s="16" t="s">
        <v>84</v>
      </c>
      <c r="Q5" s="10">
        <v>370349</v>
      </c>
      <c r="R5" s="23" t="s">
        <v>85</v>
      </c>
      <c r="S5" s="18">
        <v>15453</v>
      </c>
      <c r="T5" s="16" t="s">
        <v>86</v>
      </c>
      <c r="U5" s="23" t="s">
        <v>87</v>
      </c>
    </row>
    <row r="6" spans="1:21" ht="72.5" x14ac:dyDescent="0.35">
      <c r="A6" s="15">
        <v>16</v>
      </c>
      <c r="B6" s="15" t="s">
        <v>88</v>
      </c>
      <c r="C6" s="16">
        <v>38</v>
      </c>
      <c r="D6" s="16">
        <v>38</v>
      </c>
      <c r="E6" s="18">
        <v>45536</v>
      </c>
      <c r="F6" s="18">
        <v>38513</v>
      </c>
      <c r="G6" s="19">
        <f>F6/E6</f>
        <v>0.84577037947997191</v>
      </c>
      <c r="H6" s="18">
        <v>30416</v>
      </c>
      <c r="I6" s="19">
        <f>H6/E6</f>
        <v>0.66795502459592415</v>
      </c>
      <c r="J6" s="18">
        <v>40000000</v>
      </c>
      <c r="K6" s="18">
        <v>19400000</v>
      </c>
      <c r="L6" s="19">
        <f>K6/J6</f>
        <v>0.48499999999999999</v>
      </c>
      <c r="M6" s="10">
        <v>19400000</v>
      </c>
      <c r="N6" s="19">
        <f>M6/J6</f>
        <v>0.48499999999999999</v>
      </c>
      <c r="O6" s="12" t="s">
        <v>121</v>
      </c>
      <c r="P6" s="9" t="s">
        <v>89</v>
      </c>
      <c r="Q6" s="10">
        <v>191881</v>
      </c>
      <c r="R6" s="24" t="s">
        <v>90</v>
      </c>
      <c r="S6" s="18">
        <v>9211</v>
      </c>
      <c r="T6" s="16" t="s">
        <v>24</v>
      </c>
      <c r="U6" s="23" t="s">
        <v>91</v>
      </c>
    </row>
    <row r="7" spans="1:21" ht="174" x14ac:dyDescent="0.35">
      <c r="A7" s="15">
        <v>11</v>
      </c>
      <c r="B7" s="15" t="s">
        <v>60</v>
      </c>
      <c r="C7" s="16">
        <v>33</v>
      </c>
      <c r="D7" s="17">
        <v>33</v>
      </c>
      <c r="E7" s="18">
        <v>20551</v>
      </c>
      <c r="F7" s="18">
        <v>18959</v>
      </c>
      <c r="G7" s="19">
        <f>F7/E7</f>
        <v>0.92253418325142333</v>
      </c>
      <c r="H7" s="18">
        <v>18959</v>
      </c>
      <c r="I7" s="19">
        <f>H7/E7</f>
        <v>0.92253418325142333</v>
      </c>
      <c r="J7" s="18">
        <v>25227439</v>
      </c>
      <c r="K7" s="18">
        <v>18894295</v>
      </c>
      <c r="L7" s="19">
        <f>K7/J7</f>
        <v>0.74895810866889823</v>
      </c>
      <c r="M7" s="10">
        <v>18894295</v>
      </c>
      <c r="N7" s="19">
        <f>M7/J7</f>
        <v>0.74895810866889823</v>
      </c>
      <c r="O7" s="12" t="s">
        <v>61</v>
      </c>
      <c r="P7" s="12" t="s">
        <v>62</v>
      </c>
      <c r="Q7" s="10">
        <v>338111</v>
      </c>
      <c r="R7" s="20" t="s">
        <v>63</v>
      </c>
      <c r="S7" s="18">
        <v>40000</v>
      </c>
      <c r="T7" s="16" t="s">
        <v>64</v>
      </c>
      <c r="U7" s="17" t="s">
        <v>65</v>
      </c>
    </row>
    <row r="8" spans="1:21" x14ac:dyDescent="0.35">
      <c r="A8" s="15">
        <v>22</v>
      </c>
      <c r="B8" s="15" t="s">
        <v>113</v>
      </c>
      <c r="C8" s="15"/>
      <c r="D8" s="15"/>
      <c r="E8" s="15"/>
      <c r="F8" s="15"/>
      <c r="G8" s="15"/>
      <c r="H8" s="32"/>
      <c r="I8" s="15"/>
      <c r="J8" s="15"/>
      <c r="K8" s="15"/>
      <c r="L8" s="15"/>
      <c r="M8" s="32"/>
      <c r="N8" s="15"/>
      <c r="O8" s="15"/>
      <c r="P8" s="15"/>
      <c r="Q8" s="32"/>
      <c r="R8" s="15"/>
      <c r="S8" s="15"/>
      <c r="T8" s="15"/>
      <c r="U8" s="15"/>
    </row>
    <row r="9" spans="1:21" ht="87" x14ac:dyDescent="0.35">
      <c r="A9" s="8">
        <v>4</v>
      </c>
      <c r="B9" s="8" t="s">
        <v>32</v>
      </c>
      <c r="C9" s="9">
        <v>34</v>
      </c>
      <c r="D9" s="9">
        <v>34</v>
      </c>
      <c r="E9" s="10">
        <v>18464</v>
      </c>
      <c r="F9" s="10">
        <v>18464</v>
      </c>
      <c r="G9" s="11">
        <f>F9/E9</f>
        <v>1</v>
      </c>
      <c r="H9" s="10">
        <v>18464</v>
      </c>
      <c r="I9" s="11">
        <f>H9/E9</f>
        <v>1</v>
      </c>
      <c r="J9" s="10">
        <v>9500000</v>
      </c>
      <c r="K9" s="10">
        <v>9500000</v>
      </c>
      <c r="L9" s="11">
        <f>K9/J9</f>
        <v>1</v>
      </c>
      <c r="M9" s="10">
        <v>9500000</v>
      </c>
      <c r="N9" s="11">
        <f>M9/J9</f>
        <v>1</v>
      </c>
      <c r="O9" s="9" t="s">
        <v>33</v>
      </c>
      <c r="P9" s="9" t="s">
        <v>34</v>
      </c>
      <c r="Q9" s="10">
        <v>5350874</v>
      </c>
      <c r="R9" s="12" t="s">
        <v>35</v>
      </c>
      <c r="S9" s="10">
        <v>20000</v>
      </c>
      <c r="T9" s="9" t="s">
        <v>36</v>
      </c>
      <c r="U9" s="12" t="s">
        <v>37</v>
      </c>
    </row>
    <row r="10" spans="1:21" x14ac:dyDescent="0.35">
      <c r="A10" s="15">
        <v>18</v>
      </c>
      <c r="B10" s="25" t="s">
        <v>95</v>
      </c>
      <c r="C10" s="26">
        <v>22</v>
      </c>
      <c r="D10" s="26">
        <v>22</v>
      </c>
      <c r="E10" s="27">
        <v>7103</v>
      </c>
      <c r="F10" s="27">
        <v>2753</v>
      </c>
      <c r="G10" s="28">
        <f>F10/E10</f>
        <v>0.3875827115303393</v>
      </c>
      <c r="H10" s="27">
        <v>2753</v>
      </c>
      <c r="I10" s="28">
        <f>H10/E10</f>
        <v>0.3875827115303393</v>
      </c>
      <c r="J10" s="27">
        <v>17846314</v>
      </c>
      <c r="K10" s="27">
        <v>5487977</v>
      </c>
      <c r="L10" s="28">
        <f>K10/J10</f>
        <v>0.30751319292039803</v>
      </c>
      <c r="M10" s="27">
        <v>5487977</v>
      </c>
      <c r="N10" s="28">
        <f>M10/J10</f>
        <v>0.30751319292039803</v>
      </c>
      <c r="O10" s="29" t="s">
        <v>96</v>
      </c>
      <c r="P10" s="26" t="s">
        <v>51</v>
      </c>
      <c r="Q10" s="27"/>
      <c r="R10" s="30" t="s">
        <v>97</v>
      </c>
      <c r="S10" s="27">
        <v>5000</v>
      </c>
      <c r="T10" s="26" t="s">
        <v>24</v>
      </c>
      <c r="U10" s="26" t="s">
        <v>98</v>
      </c>
    </row>
    <row r="11" spans="1:21" ht="101.5" x14ac:dyDescent="0.35">
      <c r="A11" s="8">
        <v>8</v>
      </c>
      <c r="B11" s="8" t="s">
        <v>50</v>
      </c>
      <c r="C11" s="9">
        <v>12</v>
      </c>
      <c r="D11" s="12">
        <v>11</v>
      </c>
      <c r="E11" s="10">
        <v>21592</v>
      </c>
      <c r="F11" s="10">
        <v>18614</v>
      </c>
      <c r="G11" s="11">
        <f>F11/E11</f>
        <v>0.86207854761022606</v>
      </c>
      <c r="H11" s="10">
        <v>5400</v>
      </c>
      <c r="I11" s="11">
        <f>H11/E11</f>
        <v>0.25009262689885142</v>
      </c>
      <c r="J11" s="10">
        <v>13920370</v>
      </c>
      <c r="K11" s="10">
        <v>11919995</v>
      </c>
      <c r="L11" s="11">
        <f>K11/J11</f>
        <v>0.85629871907140398</v>
      </c>
      <c r="M11" s="10">
        <v>2500000</v>
      </c>
      <c r="N11" s="11">
        <f>M11/J11</f>
        <v>0.17959292748684122</v>
      </c>
      <c r="O11" s="9" t="s">
        <v>120</v>
      </c>
      <c r="P11" s="9" t="s">
        <v>51</v>
      </c>
      <c r="Q11" s="10">
        <v>43443</v>
      </c>
      <c r="R11" s="12" t="s">
        <v>52</v>
      </c>
      <c r="S11" s="12" t="s">
        <v>53</v>
      </c>
      <c r="T11" s="9" t="s">
        <v>24</v>
      </c>
      <c r="U11" s="9" t="s">
        <v>54</v>
      </c>
    </row>
    <row r="12" spans="1:21" ht="72.5" x14ac:dyDescent="0.35">
      <c r="A12" s="15">
        <v>21</v>
      </c>
      <c r="B12" s="15" t="s">
        <v>109</v>
      </c>
      <c r="C12" s="16">
        <v>20</v>
      </c>
      <c r="D12" s="16">
        <v>20</v>
      </c>
      <c r="E12" s="18">
        <v>6857</v>
      </c>
      <c r="F12" s="18">
        <v>6014</v>
      </c>
      <c r="G12" s="19">
        <f>F12/E12</f>
        <v>0.8770599387487239</v>
      </c>
      <c r="H12" s="18">
        <v>1731</v>
      </c>
      <c r="I12" s="19">
        <f>H12/E12</f>
        <v>0.25244275922415049</v>
      </c>
      <c r="J12" s="18">
        <v>6000000</v>
      </c>
      <c r="K12" s="18">
        <v>5520000</v>
      </c>
      <c r="L12" s="19">
        <f>K12/J12</f>
        <v>0.92</v>
      </c>
      <c r="M12" s="18">
        <v>925732</v>
      </c>
      <c r="N12" s="19">
        <f>M12/J12</f>
        <v>0.15428866666666666</v>
      </c>
      <c r="O12" s="16" t="s">
        <v>56</v>
      </c>
      <c r="P12" s="16" t="s">
        <v>110</v>
      </c>
      <c r="Q12" s="18"/>
      <c r="R12" s="31" t="s">
        <v>111</v>
      </c>
      <c r="S12" s="16">
        <v>5000</v>
      </c>
      <c r="T12" s="16" t="s">
        <v>24</v>
      </c>
      <c r="U12" s="17" t="s">
        <v>112</v>
      </c>
    </row>
    <row r="13" spans="1:21" ht="29" x14ac:dyDescent="0.35">
      <c r="A13" s="8">
        <v>5</v>
      </c>
      <c r="B13" s="8" t="s">
        <v>38</v>
      </c>
      <c r="C13" s="9">
        <v>24</v>
      </c>
      <c r="D13" s="12">
        <v>24</v>
      </c>
      <c r="E13" s="10">
        <v>32739</v>
      </c>
      <c r="F13" s="10">
        <v>32739</v>
      </c>
      <c r="G13" s="11">
        <f>F13/E13</f>
        <v>1</v>
      </c>
      <c r="H13" s="10">
        <v>32739</v>
      </c>
      <c r="I13" s="11">
        <f>H13/E13</f>
        <v>1</v>
      </c>
      <c r="J13" s="13">
        <v>28278388</v>
      </c>
      <c r="K13" s="10">
        <v>28278388</v>
      </c>
      <c r="L13" s="11">
        <f>K13/J13</f>
        <v>1</v>
      </c>
      <c r="M13" s="10">
        <v>28278388</v>
      </c>
      <c r="N13" s="11">
        <f>M13/J13</f>
        <v>1</v>
      </c>
      <c r="O13" s="9" t="s">
        <v>33</v>
      </c>
      <c r="P13" s="9" t="s">
        <v>39</v>
      </c>
      <c r="Q13" s="10">
        <v>1698278</v>
      </c>
      <c r="R13" s="12" t="s">
        <v>40</v>
      </c>
      <c r="S13" s="9" t="s">
        <v>41</v>
      </c>
      <c r="T13" s="9" t="s">
        <v>24</v>
      </c>
      <c r="U13" s="9" t="s">
        <v>42</v>
      </c>
    </row>
    <row r="14" spans="1:21" x14ac:dyDescent="0.35">
      <c r="A14" s="15">
        <v>27</v>
      </c>
      <c r="B14" s="15" t="s">
        <v>118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x14ac:dyDescent="0.35">
      <c r="A15" s="8">
        <v>3</v>
      </c>
      <c r="B15" s="8" t="s">
        <v>28</v>
      </c>
      <c r="C15" s="9">
        <v>14</v>
      </c>
      <c r="D15" s="9" t="s">
        <v>29</v>
      </c>
      <c r="E15" s="10">
        <v>1666</v>
      </c>
      <c r="F15" s="9">
        <v>801</v>
      </c>
      <c r="G15" s="11">
        <f>F15/E15</f>
        <v>0.48079231692677071</v>
      </c>
      <c r="H15" s="9">
        <v>600</v>
      </c>
      <c r="I15" s="11">
        <f>H15/E15</f>
        <v>0.36014405762304924</v>
      </c>
      <c r="J15" s="10">
        <v>31442791</v>
      </c>
      <c r="K15" s="10">
        <v>15117273</v>
      </c>
      <c r="L15" s="11">
        <f>K15/J15</f>
        <v>0.48078661337665601</v>
      </c>
      <c r="M15" s="10">
        <v>9800000</v>
      </c>
      <c r="N15" s="11">
        <f>M15/J15</f>
        <v>0.31167716631771014</v>
      </c>
      <c r="O15" s="9" t="s">
        <v>30</v>
      </c>
      <c r="P15" s="9" t="s">
        <v>26</v>
      </c>
      <c r="Q15" s="10">
        <v>4009339</v>
      </c>
      <c r="R15" s="12" t="s">
        <v>31</v>
      </c>
      <c r="S15" s="10">
        <v>9000</v>
      </c>
      <c r="T15" s="9" t="s">
        <v>24</v>
      </c>
      <c r="U15" s="9" t="s">
        <v>24</v>
      </c>
    </row>
    <row r="16" spans="1:21" x14ac:dyDescent="0.35">
      <c r="A16" s="15">
        <v>17</v>
      </c>
      <c r="B16" s="15" t="s">
        <v>92</v>
      </c>
      <c r="C16" s="16">
        <v>55</v>
      </c>
      <c r="D16" s="16">
        <v>55</v>
      </c>
      <c r="E16" s="18">
        <v>56109</v>
      </c>
      <c r="F16" s="18">
        <v>55431</v>
      </c>
      <c r="G16" s="19">
        <f>F16/E16</f>
        <v>0.9879163770518099</v>
      </c>
      <c r="H16" s="18">
        <v>55431</v>
      </c>
      <c r="I16" s="19">
        <f>H16/E16</f>
        <v>0.9879163770518099</v>
      </c>
      <c r="J16" s="18">
        <v>47875774</v>
      </c>
      <c r="K16" s="18">
        <v>47875774</v>
      </c>
      <c r="L16" s="19">
        <f>K16/J16</f>
        <v>1</v>
      </c>
      <c r="M16" s="18">
        <v>47875774</v>
      </c>
      <c r="N16" s="19">
        <f>M16/J16</f>
        <v>1</v>
      </c>
      <c r="O16" s="17" t="s">
        <v>93</v>
      </c>
      <c r="P16" s="16" t="s">
        <v>26</v>
      </c>
      <c r="Q16" s="18"/>
      <c r="R16" s="24"/>
      <c r="S16" s="18">
        <v>85000</v>
      </c>
      <c r="T16" s="16" t="s">
        <v>94</v>
      </c>
      <c r="U16" s="16" t="s">
        <v>94</v>
      </c>
    </row>
    <row r="17" spans="1:21" x14ac:dyDescent="0.35">
      <c r="A17" s="15">
        <v>26</v>
      </c>
      <c r="B17" s="15" t="s">
        <v>117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35">
        <v>32148760</v>
      </c>
      <c r="N17" s="15"/>
      <c r="O17" s="8" t="s">
        <v>122</v>
      </c>
      <c r="P17" s="8" t="s">
        <v>123</v>
      </c>
      <c r="Q17" s="10">
        <v>683360</v>
      </c>
      <c r="R17" s="15"/>
      <c r="S17" s="15"/>
      <c r="T17" s="15"/>
      <c r="U17" s="15"/>
    </row>
    <row r="18" spans="1:21" x14ac:dyDescent="0.35">
      <c r="A18" s="15">
        <v>24</v>
      </c>
      <c r="B18" s="15" t="s">
        <v>115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x14ac:dyDescent="0.35">
      <c r="A19" s="8">
        <v>10</v>
      </c>
      <c r="B19" s="8" t="s">
        <v>58</v>
      </c>
      <c r="C19" s="9">
        <v>11</v>
      </c>
      <c r="D19" s="12">
        <v>11</v>
      </c>
      <c r="E19" s="10">
        <v>864</v>
      </c>
      <c r="F19" s="10">
        <v>277</v>
      </c>
      <c r="G19" s="11">
        <f>F19/E19</f>
        <v>0.32060185185185186</v>
      </c>
      <c r="H19" s="10">
        <v>150</v>
      </c>
      <c r="I19" s="11">
        <f>H19/E19</f>
        <v>0.1736111111111111</v>
      </c>
      <c r="J19" s="10">
        <v>45000</v>
      </c>
      <c r="K19" s="10">
        <v>13000</v>
      </c>
      <c r="L19" s="11">
        <f>K19/J19</f>
        <v>0.28888888888888886</v>
      </c>
      <c r="M19" s="18">
        <v>5000</v>
      </c>
      <c r="N19" s="11">
        <f>M19/J19</f>
        <v>0.1111111111111111</v>
      </c>
      <c r="O19" s="9" t="s">
        <v>124</v>
      </c>
      <c r="P19" s="9" t="s">
        <v>26</v>
      </c>
      <c r="Q19" s="18"/>
      <c r="R19" s="12" t="s">
        <v>59</v>
      </c>
      <c r="S19" s="9">
        <v>50</v>
      </c>
      <c r="T19" s="9" t="s">
        <v>24</v>
      </c>
      <c r="U19" s="9" t="s">
        <v>24</v>
      </c>
    </row>
    <row r="20" spans="1:21" ht="29" x14ac:dyDescent="0.35">
      <c r="A20" s="8">
        <v>6</v>
      </c>
      <c r="B20" s="8" t="s">
        <v>43</v>
      </c>
      <c r="C20" s="9">
        <v>30</v>
      </c>
      <c r="D20" s="12">
        <v>30</v>
      </c>
      <c r="E20" s="10">
        <v>51542</v>
      </c>
      <c r="F20" s="10">
        <v>49423</v>
      </c>
      <c r="G20" s="11">
        <f>F20/E20</f>
        <v>0.9588878972488456</v>
      </c>
      <c r="H20" s="10">
        <v>49423</v>
      </c>
      <c r="I20" s="11">
        <f>H20/E20</f>
        <v>0.9588878972488456</v>
      </c>
      <c r="J20" s="13">
        <v>29502369</v>
      </c>
      <c r="K20" s="13">
        <v>29502369</v>
      </c>
      <c r="L20" s="11">
        <f>K20/J20</f>
        <v>1</v>
      </c>
      <c r="M20" s="13">
        <v>29502369</v>
      </c>
      <c r="N20" s="11">
        <f>M20/J20</f>
        <v>1</v>
      </c>
      <c r="O20" s="9" t="s">
        <v>33</v>
      </c>
      <c r="P20" s="14" t="s">
        <v>26</v>
      </c>
      <c r="Q20" s="10">
        <v>3257877</v>
      </c>
      <c r="R20" s="12" t="s">
        <v>44</v>
      </c>
      <c r="S20" s="10">
        <v>30000</v>
      </c>
      <c r="T20" s="9" t="s">
        <v>45</v>
      </c>
      <c r="U20" s="9" t="s">
        <v>45</v>
      </c>
    </row>
    <row r="21" spans="1:21" x14ac:dyDescent="0.35">
      <c r="A21" s="15">
        <v>20</v>
      </c>
      <c r="B21" s="15" t="s">
        <v>103</v>
      </c>
      <c r="C21" s="16">
        <v>23</v>
      </c>
      <c r="D21" s="17">
        <v>23</v>
      </c>
      <c r="E21" s="18">
        <v>13004</v>
      </c>
      <c r="F21" s="18">
        <v>9371</v>
      </c>
      <c r="G21" s="19">
        <f>F21/E21</f>
        <v>0.72062442325438325</v>
      </c>
      <c r="H21" s="18">
        <v>9371</v>
      </c>
      <c r="I21" s="19">
        <f>H21/E21</f>
        <v>0.72062442325438325</v>
      </c>
      <c r="J21" s="18">
        <v>22302747</v>
      </c>
      <c r="K21" s="18">
        <v>13102354</v>
      </c>
      <c r="L21" s="19">
        <f>K21/J21</f>
        <v>0.58747713902686516</v>
      </c>
      <c r="M21" s="18" t="s">
        <v>104</v>
      </c>
      <c r="N21" s="19"/>
      <c r="O21" s="16" t="s">
        <v>105</v>
      </c>
      <c r="P21" s="16" t="s">
        <v>106</v>
      </c>
      <c r="Q21" s="18"/>
      <c r="R21" s="17" t="s">
        <v>107</v>
      </c>
      <c r="S21" s="16" t="s">
        <v>104</v>
      </c>
      <c r="T21" s="16" t="s">
        <v>108</v>
      </c>
      <c r="U21" s="16" t="s">
        <v>108</v>
      </c>
    </row>
    <row r="22" spans="1:21" ht="87" x14ac:dyDescent="0.35">
      <c r="A22" s="15">
        <v>14</v>
      </c>
      <c r="B22" s="15" t="s">
        <v>76</v>
      </c>
      <c r="C22" s="16">
        <v>41</v>
      </c>
      <c r="D22" s="17">
        <v>41</v>
      </c>
      <c r="E22" s="18">
        <v>48909</v>
      </c>
      <c r="F22" s="18">
        <v>48797</v>
      </c>
      <c r="G22" s="19">
        <f>F22/E22</f>
        <v>0.99771003291827676</v>
      </c>
      <c r="H22" s="18">
        <v>48797</v>
      </c>
      <c r="I22" s="19">
        <f>H22/E22</f>
        <v>0.99771003291827676</v>
      </c>
      <c r="J22" s="21">
        <v>45459806</v>
      </c>
      <c r="K22" s="21">
        <v>45238362</v>
      </c>
      <c r="L22" s="19">
        <f>K22/J22</f>
        <v>0.99512879575420976</v>
      </c>
      <c r="M22" s="10">
        <v>28051487</v>
      </c>
      <c r="N22" s="19">
        <f>M22/J22</f>
        <v>0.61706130026159811</v>
      </c>
      <c r="O22" s="9" t="s">
        <v>68</v>
      </c>
      <c r="P22" s="9" t="s">
        <v>77</v>
      </c>
      <c r="Q22" s="10">
        <v>125653</v>
      </c>
      <c r="R22" s="17" t="s">
        <v>78</v>
      </c>
      <c r="S22" s="22" t="s">
        <v>79</v>
      </c>
      <c r="T22" s="16" t="s">
        <v>80</v>
      </c>
      <c r="U22" s="16" t="s">
        <v>81</v>
      </c>
    </row>
    <row r="23" spans="1:21" x14ac:dyDescent="0.35">
      <c r="A23" s="15">
        <v>23</v>
      </c>
      <c r="B23" s="15" t="s">
        <v>114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 x14ac:dyDescent="0.35">
      <c r="A24" s="3">
        <v>1</v>
      </c>
      <c r="B24" s="3" t="s">
        <v>20</v>
      </c>
      <c r="C24" s="4">
        <v>38</v>
      </c>
      <c r="D24" s="5">
        <v>37</v>
      </c>
      <c r="E24" s="6">
        <v>17164</v>
      </c>
      <c r="F24" s="6">
        <v>17164</v>
      </c>
      <c r="G24" s="7">
        <f>F24/E24</f>
        <v>1</v>
      </c>
      <c r="H24" s="6">
        <v>17116</v>
      </c>
      <c r="I24" s="7">
        <f>H24/E24</f>
        <v>0.99720344907946867</v>
      </c>
      <c r="J24" s="6">
        <v>46811114</v>
      </c>
      <c r="K24" s="6">
        <v>42300095</v>
      </c>
      <c r="L24" s="7">
        <f>K24/J24</f>
        <v>0.90363359009144706</v>
      </c>
      <c r="M24" s="10">
        <v>42543798</v>
      </c>
      <c r="N24" s="7">
        <f>M24/J24</f>
        <v>0.90883968281549543</v>
      </c>
      <c r="O24" s="9" t="s">
        <v>21</v>
      </c>
      <c r="P24" s="9" t="s">
        <v>22</v>
      </c>
      <c r="Q24" s="10">
        <v>10900955</v>
      </c>
      <c r="R24" s="5" t="s">
        <v>23</v>
      </c>
      <c r="S24" s="6">
        <v>17116</v>
      </c>
      <c r="T24" s="4" t="s">
        <v>24</v>
      </c>
      <c r="U24" s="4" t="s">
        <v>24</v>
      </c>
    </row>
    <row r="25" spans="1:21" x14ac:dyDescent="0.35">
      <c r="A25" s="8">
        <v>7</v>
      </c>
      <c r="B25" s="8" t="s">
        <v>46</v>
      </c>
      <c r="C25" s="9">
        <v>32</v>
      </c>
      <c r="D25" s="9">
        <v>32</v>
      </c>
      <c r="E25" s="10">
        <v>10621</v>
      </c>
      <c r="F25" s="10">
        <v>9795</v>
      </c>
      <c r="G25" s="11">
        <f>F25/E25</f>
        <v>0.92222954524056111</v>
      </c>
      <c r="H25" s="10">
        <v>9795</v>
      </c>
      <c r="I25" s="11">
        <f>H25/E25</f>
        <v>0.92222954524056111</v>
      </c>
      <c r="J25" s="10">
        <v>19469000</v>
      </c>
      <c r="K25" s="10">
        <v>17436000</v>
      </c>
      <c r="L25" s="11">
        <f>K25/J25</f>
        <v>0.89557758487852479</v>
      </c>
      <c r="M25" s="18">
        <v>17436000</v>
      </c>
      <c r="N25" s="11">
        <f>M25/J25</f>
        <v>0.89557758487852479</v>
      </c>
      <c r="O25" s="9" t="s">
        <v>68</v>
      </c>
      <c r="P25" s="9" t="s">
        <v>47</v>
      </c>
      <c r="Q25" s="18"/>
      <c r="R25" s="9" t="s">
        <v>48</v>
      </c>
      <c r="S25" s="10">
        <v>6975</v>
      </c>
      <c r="T25" s="9" t="s">
        <v>24</v>
      </c>
      <c r="U25" s="9" t="s">
        <v>49</v>
      </c>
    </row>
    <row r="26" spans="1:21" x14ac:dyDescent="0.35">
      <c r="A26" s="8">
        <v>9</v>
      </c>
      <c r="B26" s="8" t="s">
        <v>55</v>
      </c>
      <c r="C26" s="9">
        <v>8</v>
      </c>
      <c r="D26" s="9">
        <v>8</v>
      </c>
      <c r="E26" s="10">
        <v>897</v>
      </c>
      <c r="F26" s="10">
        <v>897</v>
      </c>
      <c r="G26" s="11">
        <f>F26/E26</f>
        <v>1</v>
      </c>
      <c r="H26" s="9">
        <v>450</v>
      </c>
      <c r="I26" s="11">
        <f>H26/E26</f>
        <v>0.50167224080267558</v>
      </c>
      <c r="J26" s="10">
        <v>2200000</v>
      </c>
      <c r="K26" s="10">
        <v>2200000</v>
      </c>
      <c r="L26" s="11">
        <f>K26/J26</f>
        <v>1</v>
      </c>
      <c r="M26" s="18">
        <v>800000</v>
      </c>
      <c r="N26" s="11">
        <f>M26/J26</f>
        <v>0.36363636363636365</v>
      </c>
      <c r="O26" s="16" t="s">
        <v>125</v>
      </c>
      <c r="P26" s="16" t="s">
        <v>56</v>
      </c>
      <c r="Q26" s="32"/>
      <c r="R26" s="12" t="s">
        <v>57</v>
      </c>
      <c r="S26" s="9">
        <v>820</v>
      </c>
      <c r="T26" s="9" t="s">
        <v>24</v>
      </c>
      <c r="U26" s="12" t="s">
        <v>24</v>
      </c>
    </row>
    <row r="27" spans="1:21" x14ac:dyDescent="0.35">
      <c r="A27" s="15">
        <v>12</v>
      </c>
      <c r="B27" s="15" t="s">
        <v>66</v>
      </c>
      <c r="C27" s="16">
        <v>75</v>
      </c>
      <c r="D27" s="17">
        <v>75</v>
      </c>
      <c r="E27" s="18">
        <v>110236</v>
      </c>
      <c r="F27" s="18">
        <v>95765</v>
      </c>
      <c r="G27" s="19">
        <f>F27/E27</f>
        <v>0.86872709459704633</v>
      </c>
      <c r="H27" s="18" t="s">
        <v>67</v>
      </c>
      <c r="I27" s="19" t="e">
        <f>H27/E27</f>
        <v>#VALUE!</v>
      </c>
      <c r="J27" s="18">
        <v>76277576</v>
      </c>
      <c r="K27" s="18">
        <v>54594234</v>
      </c>
      <c r="L27" s="19">
        <f>K27/J27</f>
        <v>0.71573110818309171</v>
      </c>
      <c r="M27" s="10">
        <v>61145571</v>
      </c>
      <c r="N27" s="19">
        <f>M27/J27</f>
        <v>0.8016192203066338</v>
      </c>
      <c r="O27" s="9" t="s">
        <v>68</v>
      </c>
      <c r="P27" s="9" t="s">
        <v>56</v>
      </c>
      <c r="Q27" s="10">
        <v>6781700</v>
      </c>
      <c r="R27" s="17" t="s">
        <v>69</v>
      </c>
      <c r="S27" s="16" t="s">
        <v>67</v>
      </c>
      <c r="T27" s="16" t="s">
        <v>70</v>
      </c>
      <c r="U27" s="16" t="s">
        <v>70</v>
      </c>
    </row>
    <row r="28" spans="1:21" ht="58" x14ac:dyDescent="0.35">
      <c r="A28" s="15">
        <v>13</v>
      </c>
      <c r="B28" s="15" t="s">
        <v>71</v>
      </c>
      <c r="C28" s="16">
        <v>13</v>
      </c>
      <c r="D28" s="16">
        <v>13</v>
      </c>
      <c r="E28" s="18">
        <v>16691</v>
      </c>
      <c r="F28" s="18">
        <v>16689</v>
      </c>
      <c r="G28" s="19">
        <f>F28/E28</f>
        <v>0.99988017494458092</v>
      </c>
      <c r="H28" s="18">
        <v>6300</v>
      </c>
      <c r="I28" s="19">
        <f>H28/E28</f>
        <v>0.37744892457012763</v>
      </c>
      <c r="J28" s="18">
        <v>28383886</v>
      </c>
      <c r="K28" s="18">
        <v>28383886</v>
      </c>
      <c r="L28" s="19">
        <f>K28/J28</f>
        <v>1</v>
      </c>
      <c r="M28" s="10">
        <v>10713467</v>
      </c>
      <c r="N28" s="19">
        <f>M28/J28</f>
        <v>0.37744891590954105</v>
      </c>
      <c r="O28" s="12" t="s">
        <v>72</v>
      </c>
      <c r="P28" s="12" t="s">
        <v>73</v>
      </c>
      <c r="Q28" s="10">
        <v>2358</v>
      </c>
      <c r="R28" s="17" t="s">
        <v>74</v>
      </c>
      <c r="S28" s="18">
        <v>2300</v>
      </c>
      <c r="T28" s="16" t="s">
        <v>24</v>
      </c>
      <c r="U28" s="17" t="s">
        <v>75</v>
      </c>
    </row>
    <row r="29" spans="1:21" x14ac:dyDescent="0.35">
      <c r="Q29" s="10"/>
    </row>
  </sheetData>
  <autoFilter ref="A1:U1" xr:uid="{99C393FE-94E2-4623-8F5E-240264E2976A}">
    <sortState xmlns:xlrd2="http://schemas.microsoft.com/office/spreadsheetml/2017/richdata2" ref="A2:U2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Pal</dc:creator>
  <cp:lastModifiedBy>Ayan Pal</cp:lastModifiedBy>
  <dcterms:created xsi:type="dcterms:W3CDTF">2026-01-14T06:46:27Z</dcterms:created>
  <dcterms:modified xsi:type="dcterms:W3CDTF">2026-01-14T07:04:33Z</dcterms:modified>
</cp:coreProperties>
</file>