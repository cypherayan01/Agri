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<sst xmlns="http://schemas.openxmlformats.org/spreadsheetml/2006/main" uniqueCount="124">
  <si>
    <t>Table 1</t>
  </si>
  <si>
    <t>S.No.</t>
  </si>
  <si>
    <t>State</t>
  </si>
  <si>
    <t>Total No. of Districts</t>
  </si>
  <si>
    <t>No. of Districts Targeted for Rabi DCS</t>
  </si>
  <si>
    <t>Total No. of Villages</t>
  </si>
  <si>
    <t>No. of Villages Geo-referenced</t>
  </si>
  <si>
    <t>% Villages geo-referenced</t>
  </si>
  <si>
    <t>No. of Villages Targeted for Rabi DCS</t>
  </si>
  <si>
    <t>% Villages targeted for Rabi DCS</t>
  </si>
  <si>
    <t>Total No. of Plots</t>
  </si>
  <si>
    <t>No. of Plots Geo-referenced</t>
  </si>
  <si>
    <t>% Plots geo-refenced</t>
  </si>
  <si>
    <t>No. of Plots Targeted for Rabi DCS</t>
  </si>
  <si>
    <t>% Plots targeted for Rabi DCS</t>
  </si>
  <si>
    <t>Rabi DCS Activity Start Date</t>
  </si>
  <si>
    <t>Rabi DCS Activity End Date</t>
  </si>
  <si>
    <t>Top 5 Rabi Crops Sown in the State</t>
  </si>
  <si>
    <t>Total Surveyors to Be Deployed</t>
  </si>
  <si>
    <t>Master Trainers Training – Conducted (Yes/No). If No, Proposed Date</t>
  </si>
  <si>
    <t>Surveyors Training – Conducted (Yes/No). If No, Proposed Date</t>
  </si>
  <si>
    <t>Tamil Nadu</t>
  </si>
  <si>
    <t>01.12.2025</t>
  </si>
  <si>
    <t>15.01.2026</t>
  </si>
  <si>
    <t>Rice, Maize, Blackgram, Jowar, Groundnut</t>
  </si>
  <si>
    <t>Yes</t>
  </si>
  <si>
    <t>Andhra Pradesh</t>
  </si>
  <si>
    <t>11.12.2025</t>
  </si>
  <si>
    <t>28.02.2026</t>
  </si>
  <si>
    <t>Paddy, Bengalgram, Blackgram, Maize, Groundnut</t>
  </si>
  <si>
    <t>Kerala</t>
  </si>
  <si>
    <t xml:space="preserve"> </t>
  </si>
  <si>
    <t>15.12.2025</t>
  </si>
  <si>
    <t>Rice, Vegetables, Banana, Legumes, Tubers</t>
  </si>
  <si>
    <t>Gujarat</t>
  </si>
  <si>
    <t>16.12.2025</t>
  </si>
  <si>
    <t>31.01.2026</t>
  </si>
  <si>
    <t>Wheat, Chickpea, Cumin, Mustard, Maize</t>
  </si>
  <si>
    <t>No, Planning for 3rd Dec</t>
  </si>
  <si>
    <t>No, Planning for 5th Dec by Master Trainers</t>
  </si>
  <si>
    <t>Jharkhand</t>
  </si>
  <si>
    <t>30.01.2026</t>
  </si>
  <si>
    <t>Wheat, Gram (Chana), Lentil (Masoor), Pea (Matar), Mustard</t>
  </si>
  <si>
    <t>50,000 approx</t>
  </si>
  <si>
    <t>No, 8th to 13th Dec</t>
  </si>
  <si>
    <t>Odisha</t>
  </si>
  <si>
    <t>Paddy, Greengram, Blackgram, Groundnut, Horsegram</t>
  </si>
  <si>
    <t>No, 10-15th Dec 2025</t>
  </si>
  <si>
    <t>Telangana</t>
  </si>
  <si>
    <t>20.12.2025</t>
  </si>
  <si>
    <t>10.01.2026</t>
  </si>
  <si>
    <t>Paddy, Maize, Jowar, Groundnut, Bengalgram</t>
  </si>
  <si>
    <t>No</t>
  </si>
  <si>
    <t>Himachal Pradesh</t>
  </si>
  <si>
    <t>25.12.2025</t>
  </si>
  <si>
    <t>15.03.2026</t>
  </si>
  <si>
    <t>Wheat, Potato, Pea, Mustard, Garlic, Cole Crop, Horticulture Crops (Citrus)</t>
  </si>
  <si>
    <t>At least 1 per Panchayat (Approx 3500 Panchayat)</t>
  </si>
  <si>
    <t xml:space="preserve">No, 15-12-25 to 20-12-25 </t>
  </si>
  <si>
    <t>Tripura</t>
  </si>
  <si>
    <t>15.02.2026</t>
  </si>
  <si>
    <t>Rice, Oil Seed, Pulse, Maize, Potato</t>
  </si>
  <si>
    <t>Mizoram</t>
  </si>
  <si>
    <t>Pea, Cabbage, Mustard, Tomato, Bean</t>
  </si>
  <si>
    <t>Chhattisgarh</t>
  </si>
  <si>
    <t>01.01.2026 (Approval pending at Administrative Level)</t>
  </si>
  <si>
    <t>15,02.2026 (Approval Pending at Administrative Level)</t>
  </si>
  <si>
    <t>चना,गहू, तबरा/लाख,राई/सरसो,अलसी</t>
  </si>
  <si>
    <t>Yes, on 27.11.2025</t>
  </si>
  <si>
    <t>Master Training conducted, Surveyors training will be conducted by Master Trainers in District</t>
  </si>
  <si>
    <t>Uttar Pradesh</t>
  </si>
  <si>
    <t>Not Confirmed</t>
  </si>
  <si>
    <t>01.01.2026</t>
  </si>
  <si>
    <t>Wheat, Mustard, Potato, Pea, Chana, Masoor</t>
  </si>
  <si>
    <t>No, Proposed in 3rd week of Dec</t>
  </si>
  <si>
    <t>Uttarakhand</t>
  </si>
  <si>
    <t>In Plain districts- 1st January 2026
In Hilly districts- 15th January 2026</t>
  </si>
  <si>
    <t>In Plain districts- 15th February 2026
In Hilly districts- 15th May 2026</t>
  </si>
  <si>
    <t>Wheat, Barley, Lentil (Masoor), Mustard, Pea</t>
  </si>
  <si>
    <t>No, in Dec 2nd week</t>
  </si>
  <si>
    <t>Rajasthan</t>
  </si>
  <si>
    <t>05.03.2026</t>
  </si>
  <si>
    <t>Wheat, Mustard, Chickpea (Gram), Barley, Cumin</t>
  </si>
  <si>
    <t>7,870 Pvt Surveyor + 7,714 Govt Patwari</t>
  </si>
  <si>
    <t>Proposed on 15.12.2025</t>
  </si>
  <si>
    <t>Proposed on 24.12.2025</t>
  </si>
  <si>
    <t>Assam</t>
  </si>
  <si>
    <t>05.01.2026</t>
  </si>
  <si>
    <t>20.02.2026</t>
  </si>
  <si>
    <t>Rape &amp; Mustard, Maize, Summer Paddy, Black Gram, Rabi Vegetables</t>
  </si>
  <si>
    <t>No, 19.12.2025</t>
  </si>
  <si>
    <t xml:space="preserve">No. Training shall be conducted by Mastrer Trainer before 31st Dec 2025 </t>
  </si>
  <si>
    <t>Bihar</t>
  </si>
  <si>
    <t>Phase-wise Tentative 24 Dec and later</t>
  </si>
  <si>
    <t>31.03.2026</t>
  </si>
  <si>
    <t>Wheat, Lentil, Chickpea, Maize, Indian Mustard</t>
  </si>
  <si>
    <t>No, Proposed by 3rd week of Dec</t>
  </si>
  <si>
    <t>Madhya Pradesh</t>
  </si>
  <si>
    <t>21.01.2026</t>
  </si>
  <si>
    <t>No,20.01.2026</t>
  </si>
  <si>
    <t>Haryana</t>
  </si>
  <si>
    <t>01.02.2026</t>
  </si>
  <si>
    <t>Wheat, Mustard, Gram, Barley, Potato</t>
  </si>
  <si>
    <t>No, Proposed date 17.12.2025</t>
  </si>
  <si>
    <t>Andaman &amp; Nicobar</t>
  </si>
  <si>
    <t>18.03.2026</t>
  </si>
  <si>
    <t>1.   Solanaceous crops(Chilli, Brinjal, Tomato etc.)
2.   Cucurbitaceous crops(Cucumber,Bottle gourd, Pumpkin, Water Melon etc.)
3.   Cole crops(Cabbage, Cauliflower, Knolkhol etc.)
4.   Malvaceae crops(Okra)
5.   Leafy Vegetable(Spinach, Amaranthus, Poi etc.)</t>
  </si>
  <si>
    <t>No, to be conducted in the 2nd week of Dec</t>
  </si>
  <si>
    <t>Punjab</t>
  </si>
  <si>
    <t>To be finalized</t>
  </si>
  <si>
    <t>15.02.2026 (tentative)</t>
  </si>
  <si>
    <t>15.04.2026 (tentative)</t>
  </si>
  <si>
    <t>Wheat, Gram, Barley, Rabi Oil Seeds, Lentil</t>
  </si>
  <si>
    <t>No, 1st week of Feb (tentative)</t>
  </si>
  <si>
    <t>Jammu &amp; Kashmir</t>
  </si>
  <si>
    <t>15.04.2026</t>
  </si>
  <si>
    <t>Oilseed, Wheat, Oats, Vegetables, Field pea</t>
  </si>
  <si>
    <t>No, Proposed Date 05.01.2026</t>
  </si>
  <si>
    <t>Goa</t>
  </si>
  <si>
    <t>Sikkim</t>
  </si>
  <si>
    <t>Manipur</t>
  </si>
  <si>
    <t>Arunachal Pradesh</t>
  </si>
  <si>
    <t>Maharashtra</t>
  </si>
  <si>
    <t>Karnataka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</si>
</sst>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ptos Narrow"/>
    </font>
    <font>
      <b val="1"/>
      <sz val="10"/>
      <color indexed="8"/>
      <name val="Helvetica Neue"/>
    </font>
    <font>
      <sz val="11"/>
      <color indexed="8"/>
      <name val="Aptos Narrow"/>
    </font>
    <font>
      <sz val="10"/>
      <color indexed="8"/>
      <name val="Aptos Narrow"/>
    </font>
    <font>
      <sz val="11"/>
      <color indexed="8"/>
      <name val="Aptos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bottom"/>
    </xf>
    <xf numFmtId="49" fontId="3" fillId="3" borderId="4" applyNumberFormat="1" applyFont="1" applyFill="1" applyBorder="1" applyAlignment="1" applyProtection="0">
      <alignment vertical="bottom" wrapText="1"/>
    </xf>
    <xf numFmtId="0" fontId="4" fillId="4" borderId="4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0" fontId="5" fillId="4" borderId="4" applyNumberFormat="1" applyFont="1" applyFill="1" applyBorder="1" applyAlignment="1" applyProtection="0">
      <alignment horizontal="left" vertical="bottom"/>
    </xf>
    <xf numFmtId="0" fontId="5" fillId="4" borderId="4" applyNumberFormat="1" applyFont="1" applyFill="1" applyBorder="1" applyAlignment="1" applyProtection="0">
      <alignment horizontal="left" vertical="bottom" wrapText="1"/>
    </xf>
    <xf numFmtId="3" fontId="5" fillId="4" borderId="4" applyNumberFormat="1" applyFont="1" applyFill="1" applyBorder="1" applyAlignment="1" applyProtection="0">
      <alignment horizontal="left" vertical="bottom"/>
    </xf>
    <xf numFmtId="9" fontId="5" fillId="4" borderId="4" applyNumberFormat="1" applyFont="1" applyFill="1" applyBorder="1" applyAlignment="1" applyProtection="0">
      <alignment horizontal="left" vertical="bottom"/>
    </xf>
    <xf numFmtId="49" fontId="5" fillId="4" borderId="4" applyNumberFormat="1" applyFont="1" applyFill="1" applyBorder="1" applyAlignment="1" applyProtection="0">
      <alignment horizontal="left" vertical="bottom"/>
    </xf>
    <xf numFmtId="49" fontId="5" fillId="4" borderId="4" applyNumberFormat="1" applyFont="1" applyFill="1" applyBorder="1" applyAlignment="1" applyProtection="0">
      <alignment horizontal="left" vertical="bottom" wrapText="1"/>
    </xf>
    <xf numFmtId="0" fontId="4" fillId="5" borderId="4" applyNumberFormat="1" applyFont="1" applyFill="1" applyBorder="1" applyAlignment="1" applyProtection="0">
      <alignment vertical="bottom"/>
    </xf>
    <xf numFmtId="49" fontId="0" fillId="5" borderId="4" applyNumberFormat="1" applyFont="1" applyFill="1" applyBorder="1" applyAlignment="1" applyProtection="0">
      <alignment vertical="bottom"/>
    </xf>
    <xf numFmtId="0" fontId="5" fillId="5" borderId="4" applyNumberFormat="1" applyFont="1" applyFill="1" applyBorder="1" applyAlignment="1" applyProtection="0">
      <alignment horizontal="left" vertical="bottom"/>
    </xf>
    <xf numFmtId="49" fontId="5" fillId="5" borderId="4" applyNumberFormat="1" applyFont="1" applyFill="1" applyBorder="1" applyAlignment="1" applyProtection="0">
      <alignment horizontal="left" vertical="bottom"/>
    </xf>
    <xf numFmtId="3" fontId="5" fillId="5" borderId="4" applyNumberFormat="1" applyFont="1" applyFill="1" applyBorder="1" applyAlignment="1" applyProtection="0">
      <alignment horizontal="left" vertical="bottom"/>
    </xf>
    <xf numFmtId="9" fontId="5" fillId="5" borderId="4" applyNumberFormat="1" applyFont="1" applyFill="1" applyBorder="1" applyAlignment="1" applyProtection="0">
      <alignment horizontal="left" vertical="bottom"/>
    </xf>
    <xf numFmtId="49" fontId="5" fillId="5" borderId="4" applyNumberFormat="1" applyFont="1" applyFill="1" applyBorder="1" applyAlignment="1" applyProtection="0">
      <alignment horizontal="left" vertical="bottom" wrapText="1"/>
    </xf>
    <xf numFmtId="0" fontId="5" fillId="5" borderId="4" applyNumberFormat="1" applyFont="1" applyFill="1" applyBorder="1" applyAlignment="1" applyProtection="0">
      <alignment horizontal="left" vertical="bottom" wrapText="1"/>
    </xf>
    <xf numFmtId="3" fontId="5" fillId="5" borderId="4" applyNumberFormat="1" applyFont="1" applyFill="1" applyBorder="1" applyAlignment="1" applyProtection="0">
      <alignment horizontal="left" vertical="bottom" wrapText="1"/>
    </xf>
    <xf numFmtId="0" fontId="4" fillId="6" borderId="4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0" fontId="5" fillId="2" borderId="4" applyNumberFormat="1" applyFont="1" applyFill="1" applyBorder="1" applyAlignment="1" applyProtection="0">
      <alignment horizontal="left" vertical="top" wrapText="1"/>
    </xf>
    <xf numFmtId="0" fontId="5" fillId="2" borderId="4" applyNumberFormat="1" applyFont="1" applyFill="1" applyBorder="1" applyAlignment="1" applyProtection="0">
      <alignment horizontal="left" vertical="bottom" wrapText="1"/>
    </xf>
    <xf numFmtId="3" fontId="5" fillId="2" borderId="4" applyNumberFormat="1" applyFont="1" applyFill="1" applyBorder="1" applyAlignment="1" applyProtection="0">
      <alignment horizontal="left" vertical="top" wrapText="1"/>
    </xf>
    <xf numFmtId="9" fontId="5" fillId="2" borderId="4" applyNumberFormat="1" applyFont="1" applyFill="1" applyBorder="1" applyAlignment="1" applyProtection="0">
      <alignment horizontal="left" vertical="top" wrapText="1"/>
    </xf>
    <xf numFmtId="49" fontId="5" fillId="2" borderId="4" applyNumberFormat="1" applyFont="1" applyFill="1" applyBorder="1" applyAlignment="1" applyProtection="0">
      <alignment horizontal="left" vertical="bottom" wrapText="1"/>
    </xf>
    <xf numFmtId="49" fontId="6" fillId="2" borderId="4" applyNumberFormat="1" applyFont="1" applyFill="1" applyBorder="1" applyAlignment="1" applyProtection="0">
      <alignment horizontal="left" vertical="bottom" wrapText="1"/>
    </xf>
    <xf numFmtId="49" fontId="5" fillId="2" borderId="4" applyNumberFormat="1" applyFont="1" applyFill="1" applyBorder="1" applyAlignment="1" applyProtection="0">
      <alignment horizontal="left" vertical="top" wrapText="1"/>
    </xf>
    <xf numFmtId="49" fontId="7" fillId="2" borderId="4" applyNumberFormat="1" applyFont="1" applyFill="1" applyBorder="1" applyAlignment="1" applyProtection="0">
      <alignment horizontal="left" vertical="bottom" wrapText="1"/>
    </xf>
    <xf numFmtId="49" fontId="5" fillId="2" borderId="4" applyNumberFormat="1" applyFont="1" applyFill="1" applyBorder="1" applyAlignment="1" applyProtection="0">
      <alignment horizontal="left" vertical="center" wrapText="1"/>
    </xf>
    <xf numFmtId="3" fontId="5" fillId="2" borderId="4" applyNumberFormat="1" applyFont="1" applyFill="1" applyBorder="1" applyAlignment="1" applyProtection="0">
      <alignment horizontal="left" vertical="center" wrapText="1"/>
    </xf>
    <xf numFmtId="0" fontId="5" fillId="6" borderId="4" applyNumberFormat="1" applyFont="1" applyFill="1" applyBorder="1" applyAlignment="1" applyProtection="0">
      <alignment vertical="top" wrapText="1"/>
    </xf>
    <xf numFmtId="49" fontId="5" fillId="2" borderId="4" applyNumberFormat="1" applyFont="1" applyFill="1" applyBorder="1" applyAlignment="1" applyProtection="0">
      <alignment vertical="top" wrapText="1"/>
    </xf>
    <xf numFmtId="49" fontId="8" fillId="2" borderId="4" applyNumberFormat="1" applyFont="1" applyFill="1" applyBorder="1" applyAlignment="1" applyProtection="0">
      <alignment horizontal="left" vertical="top" wrapText="1"/>
    </xf>
    <xf numFmtId="0" fontId="0" fillId="2" borderId="4" applyNumberFormat="0" applyFont="1" applyFill="1" applyBorder="1" applyAlignment="1" applyProtection="0">
      <alignment vertical="top" wrapText="1"/>
    </xf>
    <xf numFmtId="3" fontId="0" fillId="2" borderId="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eebf6"/>
      <rgbColor rgb="ff92d050"/>
      <rgbColor rgb="ffffc000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29"/>
  <sheetViews>
    <sheetView workbookViewId="0" showGridLines="0" defaultGridColor="1"/>
  </sheetViews>
  <sheetFormatPr defaultColWidth="16.3333" defaultRowHeight="19.9" customHeight="1" outlineLevelRow="0" outlineLevelCol="0"/>
  <cols>
    <col min="1" max="20" width="16.3516" style="1" customWidth="1"/>
    <col min="21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ht="68" customHeight="1">
      <c r="A2" t="s" s="5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  <c r="O2" t="s" s="6">
        <v>15</v>
      </c>
      <c r="P2" t="s" s="6">
        <v>16</v>
      </c>
      <c r="Q2" t="s" s="6">
        <v>17</v>
      </c>
      <c r="R2" t="s" s="6">
        <v>18</v>
      </c>
      <c r="S2" t="s" s="6">
        <v>19</v>
      </c>
      <c r="T2" t="s" s="6">
        <v>20</v>
      </c>
    </row>
    <row r="3" ht="42" customHeight="1">
      <c r="A3" s="7">
        <v>1</v>
      </c>
      <c r="B3" t="s" s="8">
        <v>21</v>
      </c>
      <c r="C3" s="9">
        <v>38</v>
      </c>
      <c r="D3" s="10">
        <v>37</v>
      </c>
      <c r="E3" s="11">
        <v>17164</v>
      </c>
      <c r="F3" s="11">
        <v>17164</v>
      </c>
      <c r="G3" s="12" cm="1">
        <f t="array" ref="G3">F3/E3</f>
        <v>1</v>
      </c>
      <c r="H3" s="11">
        <v>17116</v>
      </c>
      <c r="I3" s="12" cm="1">
        <f t="array" ref="I3">H3/E3</f>
        <v>0.997203449079469</v>
      </c>
      <c r="J3" s="11">
        <v>46811114</v>
      </c>
      <c r="K3" s="11">
        <v>42300095</v>
      </c>
      <c r="L3" s="12" cm="1">
        <f t="array" ref="L3">K3/J3</f>
        <v>0.9036335900914469</v>
      </c>
      <c r="M3" s="11">
        <v>42300095</v>
      </c>
      <c r="N3" s="12" cm="1">
        <f t="array" ref="N3">M3/J3</f>
        <v>0.9036335900914469</v>
      </c>
      <c r="O3" t="s" s="13">
        <v>22</v>
      </c>
      <c r="P3" t="s" s="13">
        <v>23</v>
      </c>
      <c r="Q3" t="s" s="14">
        <v>24</v>
      </c>
      <c r="R3" s="11">
        <v>17116</v>
      </c>
      <c r="S3" t="s" s="13">
        <v>25</v>
      </c>
      <c r="T3" t="s" s="13">
        <v>25</v>
      </c>
    </row>
    <row r="4" ht="16" customHeight="1">
      <c r="A4" s="7">
        <v>2</v>
      </c>
      <c r="B4" t="s" s="8">
        <v>26</v>
      </c>
      <c r="C4" s="9">
        <v>26</v>
      </c>
      <c r="D4" s="9">
        <v>26</v>
      </c>
      <c r="E4" s="11">
        <v>17558</v>
      </c>
      <c r="F4" s="11">
        <v>13147</v>
      </c>
      <c r="G4" s="12" cm="1">
        <f t="array" ref="G4">F4/E4</f>
        <v>0.7487754869575119</v>
      </c>
      <c r="H4" s="11">
        <v>14296</v>
      </c>
      <c r="I4" s="12" cm="1">
        <f t="array" ref="I4">H4/E4</f>
        <v>0.814215742111858</v>
      </c>
      <c r="J4" s="11">
        <v>13191602</v>
      </c>
      <c r="K4" s="11">
        <v>11559292</v>
      </c>
      <c r="L4" s="12" cm="1">
        <f t="array" ref="L4">K4/J4</f>
        <v>0.876261427535488</v>
      </c>
      <c r="M4" s="11">
        <v>13191602</v>
      </c>
      <c r="N4" s="12" cm="1">
        <f t="array" ref="N4">M4/J4</f>
        <v>1</v>
      </c>
      <c r="O4" t="s" s="13">
        <v>27</v>
      </c>
      <c r="P4" t="s" s="13">
        <v>28</v>
      </c>
      <c r="Q4" t="s" s="13">
        <v>29</v>
      </c>
      <c r="R4" s="11">
        <v>9000</v>
      </c>
      <c r="S4" t="s" s="13">
        <v>25</v>
      </c>
      <c r="T4" t="s" s="13">
        <v>25</v>
      </c>
    </row>
    <row r="5" ht="42" customHeight="1">
      <c r="A5" s="15">
        <v>3</v>
      </c>
      <c r="B5" t="s" s="16">
        <v>30</v>
      </c>
      <c r="C5" s="17">
        <v>14</v>
      </c>
      <c r="D5" t="s" s="18">
        <v>31</v>
      </c>
      <c r="E5" s="19">
        <v>1666</v>
      </c>
      <c r="F5" s="17">
        <v>801</v>
      </c>
      <c r="G5" s="20" cm="1">
        <f t="array" ref="G5">F5/E5</f>
        <v>0.480792316926771</v>
      </c>
      <c r="H5" s="17">
        <v>600</v>
      </c>
      <c r="I5" s="20" cm="1">
        <f t="array" ref="I5">H5/E5</f>
        <v>0.360144057623049</v>
      </c>
      <c r="J5" s="19">
        <v>31442791</v>
      </c>
      <c r="K5" s="19">
        <v>15117273</v>
      </c>
      <c r="L5" s="20" cm="1">
        <f t="array" ref="L5">K5/J5</f>
        <v>0.480786613376656</v>
      </c>
      <c r="M5" s="19">
        <v>9800000</v>
      </c>
      <c r="N5" s="20" cm="1">
        <f t="array" ref="N5">M5/J5</f>
        <v>0.31167716631771</v>
      </c>
      <c r="O5" t="s" s="18">
        <v>32</v>
      </c>
      <c r="P5" t="s" s="18">
        <v>28</v>
      </c>
      <c r="Q5" t="s" s="21">
        <v>33</v>
      </c>
      <c r="R5" s="19">
        <v>9000</v>
      </c>
      <c r="S5" t="s" s="18">
        <v>25</v>
      </c>
      <c r="T5" t="s" s="18">
        <v>25</v>
      </c>
    </row>
    <row r="6" ht="42" customHeight="1">
      <c r="A6" s="15">
        <v>4</v>
      </c>
      <c r="B6" t="s" s="16">
        <v>34</v>
      </c>
      <c r="C6" s="17">
        <v>34</v>
      </c>
      <c r="D6" s="17">
        <v>34</v>
      </c>
      <c r="E6" s="19">
        <v>18464</v>
      </c>
      <c r="F6" s="19">
        <v>18464</v>
      </c>
      <c r="G6" s="20" cm="1">
        <f t="array" ref="G6">F6/E6</f>
        <v>1</v>
      </c>
      <c r="H6" s="19">
        <v>18464</v>
      </c>
      <c r="I6" s="20" cm="1">
        <f t="array" ref="I6">H6/E6</f>
        <v>1</v>
      </c>
      <c r="J6" s="19">
        <v>9500000</v>
      </c>
      <c r="K6" s="19">
        <v>9500000</v>
      </c>
      <c r="L6" s="20" cm="1">
        <f t="array" ref="L6">K6/J6</f>
        <v>1</v>
      </c>
      <c r="M6" s="19">
        <v>9500000</v>
      </c>
      <c r="N6" s="20" cm="1">
        <f t="array" ref="N6">M6/J6</f>
        <v>1</v>
      </c>
      <c r="O6" t="s" s="18">
        <v>35</v>
      </c>
      <c r="P6" t="s" s="18">
        <v>36</v>
      </c>
      <c r="Q6" t="s" s="21">
        <v>37</v>
      </c>
      <c r="R6" s="19">
        <v>20000</v>
      </c>
      <c r="S6" t="s" s="18">
        <v>38</v>
      </c>
      <c r="T6" t="s" s="21">
        <v>39</v>
      </c>
    </row>
    <row r="7" ht="55" customHeight="1">
      <c r="A7" s="15">
        <v>5</v>
      </c>
      <c r="B7" t="s" s="16">
        <v>40</v>
      </c>
      <c r="C7" s="17">
        <v>24</v>
      </c>
      <c r="D7" s="22">
        <v>24</v>
      </c>
      <c r="E7" s="19">
        <v>32739</v>
      </c>
      <c r="F7" s="19">
        <v>32739</v>
      </c>
      <c r="G7" s="20" cm="1">
        <f t="array" ref="G7">F7/E7</f>
        <v>1</v>
      </c>
      <c r="H7" s="19">
        <v>32739</v>
      </c>
      <c r="I7" s="20" cm="1">
        <f t="array" ref="I7">H7/E7</f>
        <v>1</v>
      </c>
      <c r="J7" s="23">
        <v>28278388</v>
      </c>
      <c r="K7" s="19">
        <v>28278388</v>
      </c>
      <c r="L7" s="20" cm="1">
        <f t="array" ref="L7">K7/J7</f>
        <v>1</v>
      </c>
      <c r="M7" s="19">
        <v>28278388</v>
      </c>
      <c r="N7" s="20" cm="1">
        <f t="array" ref="N7">M7/J7</f>
        <v>1</v>
      </c>
      <c r="O7" t="s" s="18">
        <v>32</v>
      </c>
      <c r="P7" t="s" s="18">
        <v>41</v>
      </c>
      <c r="Q7" t="s" s="21">
        <v>42</v>
      </c>
      <c r="R7" t="s" s="18">
        <v>43</v>
      </c>
      <c r="S7" t="s" s="18">
        <v>25</v>
      </c>
      <c r="T7" t="s" s="18">
        <v>44</v>
      </c>
    </row>
    <row r="8" ht="68" customHeight="1">
      <c r="A8" s="15">
        <v>6</v>
      </c>
      <c r="B8" t="s" s="16">
        <v>45</v>
      </c>
      <c r="C8" s="17">
        <v>30</v>
      </c>
      <c r="D8" s="22">
        <v>30</v>
      </c>
      <c r="E8" s="19">
        <v>51542</v>
      </c>
      <c r="F8" s="19">
        <v>49423</v>
      </c>
      <c r="G8" s="20" cm="1">
        <f t="array" ref="G8">F8/E8</f>
        <v>0.958887897248846</v>
      </c>
      <c r="H8" s="19">
        <v>49423</v>
      </c>
      <c r="I8" s="20" cm="1">
        <f t="array" ref="I8">H8/E8</f>
        <v>0.958887897248846</v>
      </c>
      <c r="J8" s="23">
        <v>29502369</v>
      </c>
      <c r="K8" s="23">
        <v>29502369</v>
      </c>
      <c r="L8" s="20" cm="1">
        <f t="array" ref="L8">K8/J8</f>
        <v>1</v>
      </c>
      <c r="M8" s="23">
        <v>29502369</v>
      </c>
      <c r="N8" s="20" cm="1">
        <f t="array" ref="N8">M8/J8</f>
        <v>1</v>
      </c>
      <c r="O8" t="s" s="18">
        <v>32</v>
      </c>
      <c r="P8" t="s" s="18">
        <v>28</v>
      </c>
      <c r="Q8" t="s" s="21">
        <v>46</v>
      </c>
      <c r="R8" s="19">
        <v>30000</v>
      </c>
      <c r="S8" t="s" s="18">
        <v>47</v>
      </c>
      <c r="T8" t="s" s="18">
        <v>47</v>
      </c>
    </row>
    <row r="9" ht="16" customHeight="1">
      <c r="A9" s="15">
        <v>7</v>
      </c>
      <c r="B9" t="s" s="16">
        <v>48</v>
      </c>
      <c r="C9" s="17">
        <v>32</v>
      </c>
      <c r="D9" s="17">
        <v>32</v>
      </c>
      <c r="E9" s="19">
        <v>10621</v>
      </c>
      <c r="F9" s="19">
        <v>9795</v>
      </c>
      <c r="G9" s="20" cm="1">
        <f t="array" ref="G9">F9/E9</f>
        <v>0.922229545240561</v>
      </c>
      <c r="H9" s="19">
        <v>9795</v>
      </c>
      <c r="I9" s="20" cm="1">
        <f t="array" ref="I9">H9/E9</f>
        <v>0.922229545240561</v>
      </c>
      <c r="J9" s="19">
        <v>19469000</v>
      </c>
      <c r="K9" s="19">
        <v>17436000</v>
      </c>
      <c r="L9" s="20" cm="1">
        <f t="array" ref="L9">K9/J9</f>
        <v>0.895577584878525</v>
      </c>
      <c r="M9" s="19">
        <v>17436000</v>
      </c>
      <c r="N9" s="20" cm="1">
        <f t="array" ref="N9">M9/J9</f>
        <v>0.895577584878525</v>
      </c>
      <c r="O9" t="s" s="18">
        <v>49</v>
      </c>
      <c r="P9" t="s" s="18">
        <v>50</v>
      </c>
      <c r="Q9" t="s" s="18">
        <v>51</v>
      </c>
      <c r="R9" s="19">
        <v>6975</v>
      </c>
      <c r="S9" t="s" s="18">
        <v>25</v>
      </c>
      <c r="T9" t="s" s="18">
        <v>52</v>
      </c>
    </row>
    <row r="10" ht="68" customHeight="1">
      <c r="A10" s="15">
        <v>8</v>
      </c>
      <c r="B10" t="s" s="16">
        <v>53</v>
      </c>
      <c r="C10" s="17">
        <v>12</v>
      </c>
      <c r="D10" s="22">
        <v>11</v>
      </c>
      <c r="E10" s="19">
        <v>21592</v>
      </c>
      <c r="F10" s="19">
        <v>18614</v>
      </c>
      <c r="G10" s="20" cm="1">
        <f t="array" ref="G10">F10/E10</f>
        <v>0.862078547610226</v>
      </c>
      <c r="H10" s="19">
        <v>5400</v>
      </c>
      <c r="I10" s="20" cm="1">
        <f t="array" ref="I10">H10/E10</f>
        <v>0.250092626898851</v>
      </c>
      <c r="J10" s="19">
        <v>13920370</v>
      </c>
      <c r="K10" s="19">
        <v>11919995</v>
      </c>
      <c r="L10" s="20" cm="1">
        <f t="array" ref="L10">K10/J10</f>
        <v>0.856298719071404</v>
      </c>
      <c r="M10" s="19">
        <v>2500000</v>
      </c>
      <c r="N10" s="20" cm="1">
        <f t="array" ref="N10">M10/J10</f>
        <v>0.179592927486841</v>
      </c>
      <c r="O10" t="s" s="18">
        <v>54</v>
      </c>
      <c r="P10" t="s" s="18">
        <v>55</v>
      </c>
      <c r="Q10" t="s" s="21">
        <v>56</v>
      </c>
      <c r="R10" t="s" s="21">
        <v>57</v>
      </c>
      <c r="S10" t="s" s="18">
        <v>25</v>
      </c>
      <c r="T10" t="s" s="18">
        <v>58</v>
      </c>
    </row>
    <row r="11" ht="42" customHeight="1">
      <c r="A11" s="15">
        <v>9</v>
      </c>
      <c r="B11" t="s" s="16">
        <v>59</v>
      </c>
      <c r="C11" s="17">
        <v>8</v>
      </c>
      <c r="D11" s="17">
        <v>8</v>
      </c>
      <c r="E11" s="19">
        <v>897</v>
      </c>
      <c r="F11" s="19">
        <v>897</v>
      </c>
      <c r="G11" s="20" cm="1">
        <f t="array" ref="G11">F11/E11</f>
        <v>1</v>
      </c>
      <c r="H11" s="17">
        <v>450</v>
      </c>
      <c r="I11" s="20" cm="1">
        <f t="array" ref="I11">H11/E11</f>
        <v>0.501672240802676</v>
      </c>
      <c r="J11" s="19">
        <v>2200000</v>
      </c>
      <c r="K11" s="19">
        <v>2200000</v>
      </c>
      <c r="L11" s="20" cm="1">
        <f t="array" ref="L11">K11/J11</f>
        <v>1</v>
      </c>
      <c r="M11" s="19">
        <v>800000</v>
      </c>
      <c r="N11" s="20" cm="1">
        <f t="array" ref="N11">M11/J11</f>
        <v>0.363636363636364</v>
      </c>
      <c r="O11" t="s" s="18">
        <v>32</v>
      </c>
      <c r="P11" t="s" s="18">
        <v>60</v>
      </c>
      <c r="Q11" t="s" s="21">
        <v>61</v>
      </c>
      <c r="R11" s="17">
        <v>820</v>
      </c>
      <c r="S11" t="s" s="18">
        <v>25</v>
      </c>
      <c r="T11" t="s" s="21">
        <v>25</v>
      </c>
    </row>
    <row r="12" ht="42" customHeight="1">
      <c r="A12" s="15">
        <v>10</v>
      </c>
      <c r="B12" t="s" s="16">
        <v>62</v>
      </c>
      <c r="C12" s="17">
        <v>11</v>
      </c>
      <c r="D12" s="22">
        <v>11</v>
      </c>
      <c r="E12" s="19">
        <v>864</v>
      </c>
      <c r="F12" s="19">
        <v>277</v>
      </c>
      <c r="G12" s="20" cm="1">
        <f t="array" ref="G12">F12/E12</f>
        <v>0.320601851851852</v>
      </c>
      <c r="H12" s="19">
        <v>150</v>
      </c>
      <c r="I12" s="20" cm="1">
        <f t="array" ref="I12">H12/E12</f>
        <v>0.173611111111111</v>
      </c>
      <c r="J12" s="19">
        <v>45000</v>
      </c>
      <c r="K12" s="19">
        <v>13000</v>
      </c>
      <c r="L12" s="20" cm="1">
        <f t="array" ref="L12">K12/J12</f>
        <v>0.288888888888889</v>
      </c>
      <c r="M12" s="19">
        <v>5000</v>
      </c>
      <c r="N12" s="20" cm="1">
        <f t="array" ref="N12">M12/J12</f>
        <v>0.111111111111111</v>
      </c>
      <c r="O12" t="s" s="18">
        <v>32</v>
      </c>
      <c r="P12" t="s" s="18">
        <v>28</v>
      </c>
      <c r="Q12" t="s" s="21">
        <v>63</v>
      </c>
      <c r="R12" s="17">
        <v>50</v>
      </c>
      <c r="S12" t="s" s="18">
        <v>25</v>
      </c>
      <c r="T12" t="s" s="18">
        <v>25</v>
      </c>
    </row>
    <row r="13" ht="81" customHeight="1">
      <c r="A13" s="24">
        <v>11</v>
      </c>
      <c r="B13" t="s" s="25">
        <v>64</v>
      </c>
      <c r="C13" s="26">
        <v>33</v>
      </c>
      <c r="D13" s="27">
        <v>33</v>
      </c>
      <c r="E13" s="28">
        <v>20551</v>
      </c>
      <c r="F13" s="28">
        <v>18959</v>
      </c>
      <c r="G13" s="29" cm="1">
        <f t="array" ref="G13">F13/E13</f>
        <v>0.922534183251423</v>
      </c>
      <c r="H13" s="28">
        <v>18959</v>
      </c>
      <c r="I13" s="29" cm="1">
        <f t="array" ref="I13">H13/E13</f>
        <v>0.922534183251423</v>
      </c>
      <c r="J13" s="28">
        <v>25227439</v>
      </c>
      <c r="K13" s="28">
        <v>18894295</v>
      </c>
      <c r="L13" s="29" cm="1">
        <f t="array" ref="L13">K13/J13</f>
        <v>0.748958108668898</v>
      </c>
      <c r="M13" s="28">
        <v>18894295</v>
      </c>
      <c r="N13" s="29" cm="1">
        <f t="array" ref="N13">M13/J13</f>
        <v>0.748958108668898</v>
      </c>
      <c r="O13" t="s" s="30">
        <v>65</v>
      </c>
      <c r="P13" t="s" s="30">
        <v>66</v>
      </c>
      <c r="Q13" t="s" s="31">
        <v>67</v>
      </c>
      <c r="R13" s="28">
        <v>40000</v>
      </c>
      <c r="S13" t="s" s="32">
        <v>68</v>
      </c>
      <c r="T13" t="s" s="30">
        <v>69</v>
      </c>
    </row>
    <row r="14" ht="42" customHeight="1">
      <c r="A14" s="24">
        <v>12</v>
      </c>
      <c r="B14" t="s" s="25">
        <v>70</v>
      </c>
      <c r="C14" s="26">
        <v>75</v>
      </c>
      <c r="D14" s="27">
        <v>75</v>
      </c>
      <c r="E14" s="28">
        <v>110236</v>
      </c>
      <c r="F14" s="28">
        <v>95765</v>
      </c>
      <c r="G14" s="29" cm="1">
        <f t="array" ref="G14">F14/E14</f>
        <v>0.868727094597046</v>
      </c>
      <c r="H14" t="s" s="32">
        <v>71</v>
      </c>
      <c r="I14" s="29" cm="1">
        <f t="array" ref="I14">H14/E14</f>
      </c>
      <c r="J14" s="28">
        <v>76277576</v>
      </c>
      <c r="K14" s="28">
        <v>54594234</v>
      </c>
      <c r="L14" s="29" cm="1">
        <f t="array" ref="L14">K14/J14</f>
        <v>0.715731108183092</v>
      </c>
      <c r="M14" t="s" s="32">
        <v>71</v>
      </c>
      <c r="N14" s="29" cm="1">
        <f t="array" ref="N14">M14/J14</f>
      </c>
      <c r="O14" t="s" s="32">
        <v>72</v>
      </c>
      <c r="P14" t="s" s="32">
        <v>60</v>
      </c>
      <c r="Q14" t="s" s="30">
        <v>73</v>
      </c>
      <c r="R14" t="s" s="32">
        <v>71</v>
      </c>
      <c r="S14" t="s" s="32">
        <v>74</v>
      </c>
      <c r="T14" t="s" s="32">
        <v>74</v>
      </c>
    </row>
    <row r="15" ht="68" customHeight="1">
      <c r="A15" s="24">
        <v>13</v>
      </c>
      <c r="B15" t="s" s="25">
        <v>75</v>
      </c>
      <c r="C15" s="26">
        <v>13</v>
      </c>
      <c r="D15" s="26">
        <v>13</v>
      </c>
      <c r="E15" s="28">
        <v>16691</v>
      </c>
      <c r="F15" s="28">
        <v>16689</v>
      </c>
      <c r="G15" s="29" cm="1">
        <f t="array" ref="G15">F15/E15</f>
        <v>0.999880174944581</v>
      </c>
      <c r="H15" s="28">
        <v>6300</v>
      </c>
      <c r="I15" s="29" cm="1">
        <f t="array" ref="I15">H15/E15</f>
        <v>0.377448924570128</v>
      </c>
      <c r="J15" s="28">
        <v>28383886</v>
      </c>
      <c r="K15" s="28">
        <v>28383886</v>
      </c>
      <c r="L15" s="29" cm="1">
        <f t="array" ref="L15">K15/J15</f>
        <v>1</v>
      </c>
      <c r="M15" s="28">
        <v>10713467</v>
      </c>
      <c r="N15" s="29" cm="1">
        <f t="array" ref="N15">M15/J15</f>
        <v>0.377448915909541</v>
      </c>
      <c r="O15" t="s" s="30">
        <v>76</v>
      </c>
      <c r="P15" t="s" s="30">
        <v>77</v>
      </c>
      <c r="Q15" t="s" s="30">
        <v>78</v>
      </c>
      <c r="R15" s="28">
        <v>2300</v>
      </c>
      <c r="S15" t="s" s="32">
        <v>25</v>
      </c>
      <c r="T15" t="s" s="30">
        <v>79</v>
      </c>
    </row>
    <row r="16" ht="42" customHeight="1">
      <c r="A16" s="24">
        <v>14</v>
      </c>
      <c r="B16" t="s" s="25">
        <v>80</v>
      </c>
      <c r="C16" s="26">
        <v>41</v>
      </c>
      <c r="D16" s="27">
        <v>41</v>
      </c>
      <c r="E16" s="28">
        <v>48909</v>
      </c>
      <c r="F16" s="28">
        <v>48797</v>
      </c>
      <c r="G16" s="29" cm="1">
        <f t="array" ref="G16">F16/E16</f>
        <v>0.997710032918277</v>
      </c>
      <c r="H16" s="28">
        <v>48797</v>
      </c>
      <c r="I16" s="29" cm="1">
        <f t="array" ref="I16">H16/E16</f>
        <v>0.997710032918277</v>
      </c>
      <c r="J16" s="28">
        <v>45459806</v>
      </c>
      <c r="K16" s="28">
        <v>45238362</v>
      </c>
      <c r="L16" s="29" cm="1">
        <f t="array" ref="L16">K16/J16</f>
        <v>0.99512879575421</v>
      </c>
      <c r="M16" s="28">
        <v>28051487</v>
      </c>
      <c r="N16" s="29" cm="1">
        <f t="array" ref="N16">M16/J16</f>
        <v>0.617061300261598</v>
      </c>
      <c r="O16" t="s" s="32">
        <v>72</v>
      </c>
      <c r="P16" t="s" s="32">
        <v>81</v>
      </c>
      <c r="Q16" t="s" s="30">
        <v>82</v>
      </c>
      <c r="R16" t="s" s="33">
        <v>83</v>
      </c>
      <c r="S16" t="s" s="32">
        <v>84</v>
      </c>
      <c r="T16" t="s" s="32">
        <v>85</v>
      </c>
    </row>
    <row r="17" ht="68" customHeight="1">
      <c r="A17" s="24">
        <v>15</v>
      </c>
      <c r="B17" t="s" s="25">
        <v>86</v>
      </c>
      <c r="C17" s="26">
        <v>35</v>
      </c>
      <c r="D17" s="26">
        <v>30</v>
      </c>
      <c r="E17" s="28">
        <v>18407</v>
      </c>
      <c r="F17" s="28">
        <v>16237</v>
      </c>
      <c r="G17" s="29" cm="1">
        <f t="array" ref="G17">F17/E17</f>
        <v>0.882110066822405</v>
      </c>
      <c r="H17" s="28">
        <v>12983</v>
      </c>
      <c r="I17" s="29" cm="1">
        <f t="array" ref="I17">H17/E17</f>
        <v>0.705329494214158</v>
      </c>
      <c r="J17" s="28">
        <v>3909970</v>
      </c>
      <c r="K17" s="28">
        <v>3909970</v>
      </c>
      <c r="L17" s="29" cm="1">
        <f t="array" ref="L17">K17/J17</f>
        <v>1</v>
      </c>
      <c r="M17" s="28">
        <v>3909970</v>
      </c>
      <c r="N17" s="29" cm="1">
        <f t="array" ref="N17">M17/J17</f>
        <v>1</v>
      </c>
      <c r="O17" t="s" s="32">
        <v>87</v>
      </c>
      <c r="P17" t="s" s="32">
        <v>88</v>
      </c>
      <c r="Q17" t="s" s="34">
        <v>89</v>
      </c>
      <c r="R17" s="28">
        <v>15453</v>
      </c>
      <c r="S17" t="s" s="32">
        <v>90</v>
      </c>
      <c r="T17" t="s" s="34">
        <v>91</v>
      </c>
    </row>
    <row r="18" ht="42" customHeight="1">
      <c r="A18" s="24">
        <v>16</v>
      </c>
      <c r="B18" t="s" s="25">
        <v>92</v>
      </c>
      <c r="C18" s="26">
        <v>38</v>
      </c>
      <c r="D18" s="26">
        <v>38</v>
      </c>
      <c r="E18" s="28">
        <v>45536</v>
      </c>
      <c r="F18" s="28">
        <v>38513</v>
      </c>
      <c r="G18" s="29" cm="1">
        <f t="array" ref="G18">F18/E18</f>
        <v>0.845770379479972</v>
      </c>
      <c r="H18" s="28">
        <v>30416</v>
      </c>
      <c r="I18" s="29" cm="1">
        <f t="array" ref="I18">H18/E18</f>
        <v>0.667955024595924</v>
      </c>
      <c r="J18" s="28">
        <v>40000000</v>
      </c>
      <c r="K18" s="28">
        <v>19400000</v>
      </c>
      <c r="L18" s="29" cm="1">
        <f t="array" ref="L18">K18/J18</f>
        <v>0.485</v>
      </c>
      <c r="M18" s="28">
        <v>19400000</v>
      </c>
      <c r="N18" s="29" cm="1">
        <f t="array" ref="N18">M18/J18</f>
        <v>0.485</v>
      </c>
      <c r="O18" t="s" s="30">
        <v>93</v>
      </c>
      <c r="P18" t="s" s="32">
        <v>94</v>
      </c>
      <c r="Q18" t="s" s="34">
        <v>95</v>
      </c>
      <c r="R18" s="28">
        <v>9211</v>
      </c>
      <c r="S18" t="s" s="32">
        <v>25</v>
      </c>
      <c r="T18" t="s" s="34">
        <v>96</v>
      </c>
    </row>
    <row r="19" ht="22" customHeight="1">
      <c r="A19" s="24">
        <v>17</v>
      </c>
      <c r="B19" t="s" s="25">
        <v>97</v>
      </c>
      <c r="C19" s="26">
        <v>55</v>
      </c>
      <c r="D19" s="26">
        <v>55</v>
      </c>
      <c r="E19" s="28">
        <v>56109</v>
      </c>
      <c r="F19" s="28">
        <v>55431</v>
      </c>
      <c r="G19" s="29" cm="1">
        <f t="array" ref="G19">F19/E19</f>
        <v>0.98791637705181</v>
      </c>
      <c r="H19" s="28">
        <v>55431</v>
      </c>
      <c r="I19" s="29" cm="1">
        <f t="array" ref="I19">H19/E19</f>
        <v>0.98791637705181</v>
      </c>
      <c r="J19" s="28">
        <v>47875774</v>
      </c>
      <c r="K19" s="28">
        <v>47875774</v>
      </c>
      <c r="L19" s="29" cm="1">
        <f t="array" ref="L19">K19/J19</f>
        <v>1</v>
      </c>
      <c r="M19" s="28">
        <v>47875774</v>
      </c>
      <c r="N19" s="29" cm="1">
        <f t="array" ref="N19">M19/J19</f>
        <v>1</v>
      </c>
      <c r="O19" t="s" s="30">
        <v>98</v>
      </c>
      <c r="P19" t="s" s="32">
        <v>28</v>
      </c>
      <c r="Q19" s="35"/>
      <c r="R19" s="28">
        <v>85000</v>
      </c>
      <c r="S19" t="s" s="32">
        <v>99</v>
      </c>
      <c r="T19" t="s" s="32">
        <v>99</v>
      </c>
    </row>
    <row r="20" ht="42" customHeight="1">
      <c r="A20" s="36">
        <v>18</v>
      </c>
      <c r="B20" t="s" s="37">
        <v>100</v>
      </c>
      <c r="C20" s="26">
        <v>22</v>
      </c>
      <c r="D20" s="26">
        <v>22</v>
      </c>
      <c r="E20" s="28">
        <v>7103</v>
      </c>
      <c r="F20" s="28">
        <v>2753</v>
      </c>
      <c r="G20" s="29" cm="1">
        <f t="array" ref="G20">F20/E20</f>
        <v>0.387582711530339</v>
      </c>
      <c r="H20" s="28">
        <v>2753</v>
      </c>
      <c r="I20" s="29" cm="1">
        <f t="array" ref="I20">H20/E20</f>
        <v>0.387582711530339</v>
      </c>
      <c r="J20" s="28">
        <v>17846314</v>
      </c>
      <c r="K20" s="28">
        <v>5487977</v>
      </c>
      <c r="L20" s="29" cm="1">
        <f t="array" ref="L20">K20/J20</f>
        <v>0.307513192920398</v>
      </c>
      <c r="M20" s="28">
        <v>5487977</v>
      </c>
      <c r="N20" s="29" cm="1">
        <f t="array" ref="N20">M20/J20</f>
        <v>0.307513192920398</v>
      </c>
      <c r="O20" t="s" s="30">
        <v>101</v>
      </c>
      <c r="P20" t="s" s="32">
        <v>55</v>
      </c>
      <c r="Q20" t="s" s="34">
        <v>102</v>
      </c>
      <c r="R20" s="28">
        <v>5000</v>
      </c>
      <c r="S20" t="s" s="32">
        <v>25</v>
      </c>
      <c r="T20" t="s" s="32">
        <v>103</v>
      </c>
    </row>
    <row r="21" ht="263" customHeight="1">
      <c r="A21" s="24">
        <v>19</v>
      </c>
      <c r="B21" t="s" s="25">
        <v>104</v>
      </c>
      <c r="C21" s="26">
        <v>3</v>
      </c>
      <c r="D21" s="26">
        <v>3</v>
      </c>
      <c r="E21" s="27">
        <v>204</v>
      </c>
      <c r="F21" s="26">
        <v>177</v>
      </c>
      <c r="G21" s="29" cm="1">
        <f t="array" ref="G21">F21/E21</f>
        <v>0.867647058823529</v>
      </c>
      <c r="H21" s="26">
        <v>177</v>
      </c>
      <c r="I21" s="29" cm="1">
        <f t="array" ref="I21">H21/E21</f>
        <v>0.867647058823529</v>
      </c>
      <c r="J21" s="28">
        <v>31527</v>
      </c>
      <c r="K21" s="28">
        <v>25410</v>
      </c>
      <c r="L21" s="29" cm="1">
        <f t="array" ref="L21">K21/J21</f>
        <v>0.805975830240746</v>
      </c>
      <c r="M21" s="28">
        <v>25410</v>
      </c>
      <c r="N21" s="29" cm="1">
        <f t="array" ref="N21">M21/J21</f>
        <v>0.805975830240746</v>
      </c>
      <c r="O21" t="s" s="32">
        <v>101</v>
      </c>
      <c r="P21" t="s" s="32">
        <v>105</v>
      </c>
      <c r="Q21" t="s" s="30">
        <v>106</v>
      </c>
      <c r="R21" s="26">
        <v>177</v>
      </c>
      <c r="S21" t="s" s="32">
        <v>25</v>
      </c>
      <c r="T21" t="s" s="30">
        <v>107</v>
      </c>
    </row>
    <row r="22" ht="42" customHeight="1">
      <c r="A22" s="24">
        <v>20</v>
      </c>
      <c r="B22" t="s" s="25">
        <v>108</v>
      </c>
      <c r="C22" s="26">
        <v>23</v>
      </c>
      <c r="D22" s="27">
        <v>23</v>
      </c>
      <c r="E22" s="28">
        <v>13004</v>
      </c>
      <c r="F22" s="28">
        <v>9371</v>
      </c>
      <c r="G22" s="29" cm="1">
        <f t="array" ref="G22">F22/E22</f>
        <v>0.720624423254383</v>
      </c>
      <c r="H22" s="28">
        <v>9371</v>
      </c>
      <c r="I22" s="29" cm="1">
        <f t="array" ref="I22">H22/E22</f>
        <v>0.720624423254383</v>
      </c>
      <c r="J22" s="28">
        <v>22302747</v>
      </c>
      <c r="K22" s="28">
        <v>13102354</v>
      </c>
      <c r="L22" s="29" cm="1">
        <f t="array" ref="L22">K22/J22</f>
        <v>0.587477139026865</v>
      </c>
      <c r="M22" t="s" s="32">
        <v>109</v>
      </c>
      <c r="N22" s="29"/>
      <c r="O22" t="s" s="32">
        <v>110</v>
      </c>
      <c r="P22" t="s" s="32">
        <v>111</v>
      </c>
      <c r="Q22" t="s" s="30">
        <v>112</v>
      </c>
      <c r="R22" t="s" s="32">
        <v>109</v>
      </c>
      <c r="S22" t="s" s="32">
        <v>113</v>
      </c>
      <c r="T22" t="s" s="32">
        <v>113</v>
      </c>
    </row>
    <row r="23" ht="45.55" customHeight="1">
      <c r="A23" s="24">
        <v>21</v>
      </c>
      <c r="B23" t="s" s="25">
        <v>114</v>
      </c>
      <c r="C23" s="26">
        <v>20</v>
      </c>
      <c r="D23" s="26">
        <v>20</v>
      </c>
      <c r="E23" s="28">
        <v>6857</v>
      </c>
      <c r="F23" s="28">
        <v>6014</v>
      </c>
      <c r="G23" s="29" cm="1">
        <f t="array" ref="G23">F23/E23</f>
        <v>0.877059938748724</v>
      </c>
      <c r="H23" s="28">
        <v>1731</v>
      </c>
      <c r="I23" s="29" cm="1">
        <f t="array" ref="I23">H23/E23</f>
        <v>0.252442759224151</v>
      </c>
      <c r="J23" s="28">
        <v>6000000</v>
      </c>
      <c r="K23" s="28">
        <v>5520000</v>
      </c>
      <c r="L23" s="29" cm="1">
        <f t="array" ref="L23">K23/J23</f>
        <v>0.92</v>
      </c>
      <c r="M23" s="28">
        <v>925732</v>
      </c>
      <c r="N23" s="29" cm="1">
        <f t="array" ref="N23">M23/J23</f>
        <v>0.154288666666667</v>
      </c>
      <c r="O23" t="s" s="32">
        <v>60</v>
      </c>
      <c r="P23" t="s" s="32">
        <v>115</v>
      </c>
      <c r="Q23" t="s" s="38">
        <v>116</v>
      </c>
      <c r="R23" s="26">
        <v>5000</v>
      </c>
      <c r="S23" t="s" s="32">
        <v>25</v>
      </c>
      <c r="T23" t="s" s="30">
        <v>117</v>
      </c>
    </row>
    <row r="24" ht="20.7" customHeight="1">
      <c r="A24" s="24">
        <v>22</v>
      </c>
      <c r="B24" t="s" s="25">
        <v>118</v>
      </c>
      <c r="C24" s="39"/>
      <c r="D24" s="39"/>
      <c r="E24" s="39"/>
      <c r="F24" s="39"/>
      <c r="G24" s="39"/>
      <c r="H24" s="40"/>
      <c r="I24" s="39"/>
      <c r="J24" s="39"/>
      <c r="K24" s="39"/>
      <c r="L24" s="39"/>
      <c r="M24" s="40"/>
      <c r="N24" s="39"/>
      <c r="O24" s="39"/>
      <c r="P24" s="39"/>
      <c r="Q24" s="39"/>
      <c r="R24" s="39"/>
      <c r="S24" s="39"/>
      <c r="T24" s="39"/>
    </row>
    <row r="25" ht="20.7" customHeight="1">
      <c r="A25" s="24">
        <v>23</v>
      </c>
      <c r="B25" t="s" s="25">
        <v>119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</row>
    <row r="26" ht="20.7" customHeight="1">
      <c r="A26" s="24">
        <v>24</v>
      </c>
      <c r="B26" t="s" s="25">
        <v>120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</row>
    <row r="27" ht="20.7" customHeight="1">
      <c r="A27" s="24">
        <v>25</v>
      </c>
      <c r="B27" t="s" s="25">
        <v>121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</row>
    <row r="28" ht="20.7" customHeight="1">
      <c r="A28" s="24">
        <v>26</v>
      </c>
      <c r="B28" t="s" s="25">
        <v>122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</row>
    <row r="29" ht="20.7" customHeight="1">
      <c r="A29" s="24">
        <v>27</v>
      </c>
      <c r="B29" t="s" s="25">
        <v>123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