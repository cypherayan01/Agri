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U587EM\Downloads\"/>
    </mc:Choice>
  </mc:AlternateContent>
  <xr:revisionPtr revIDLastSave="0" documentId="8_{BA4E78CF-6FAB-4D76-A7DE-A3874B22ED18}" xr6:coauthVersionLast="47" xr6:coauthVersionMax="47" xr10:uidLastSave="{00000000-0000-0000-0000-000000000000}"/>
  <bookViews>
    <workbookView xWindow="-110" yWindow="-110" windowWidth="19420" windowHeight="10300" activeTab="1" xr2:uid="{C4441233-65B4-4063-8E82-5D06A6E9F685}"/>
  </bookViews>
  <sheets>
    <sheet name="Updated" sheetId="3" r:id="rId1"/>
    <sheet name="Sheet2" sheetId="4" r:id="rId2"/>
    <sheet name="Sheet1" sheetId="1" r:id="rId3"/>
  </sheets>
  <definedNames>
    <definedName name="_xlnm._FilterDatabase" localSheetId="2" hidden="1">Sheet1!$A$1:$T$22</definedName>
    <definedName name="_xlnm._FilterDatabase" localSheetId="0" hidden="1">Updated!$A$1:$AX$22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9" i="3" l="1"/>
  <c r="B25" i="4"/>
  <c r="C25" i="4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" i="3"/>
  <c r="AP29" i="3"/>
  <c r="AM29" i="3"/>
  <c r="AN29" i="3"/>
  <c r="AO29" i="3"/>
  <c r="AL29" i="3"/>
  <c r="N13" i="3"/>
  <c r="AK29" i="3"/>
  <c r="AJ29" i="3"/>
  <c r="AI29" i="3"/>
  <c r="AH29" i="3"/>
  <c r="AF29" i="3"/>
  <c r="AE29" i="3"/>
  <c r="AD29" i="3"/>
  <c r="AC29" i="3"/>
  <c r="AB29" i="3"/>
  <c r="N10" i="3"/>
  <c r="L10" i="3"/>
  <c r="I10" i="3"/>
  <c r="G10" i="3"/>
  <c r="Z29" i="3"/>
  <c r="Y29" i="3"/>
  <c r="X29" i="3"/>
  <c r="W29" i="3"/>
  <c r="V29" i="3" l="1"/>
  <c r="L3" i="3"/>
  <c r="G3" i="3"/>
  <c r="U29" i="3"/>
  <c r="T29" i="3"/>
  <c r="G17" i="3"/>
  <c r="I17" i="3"/>
  <c r="L17" i="3"/>
  <c r="N17" i="3"/>
  <c r="G12" i="3"/>
  <c r="I12" i="3"/>
  <c r="L12" i="3"/>
  <c r="N12" i="3"/>
  <c r="R29" i="3"/>
  <c r="D29" i="3"/>
  <c r="E29" i="3"/>
  <c r="F29" i="3"/>
  <c r="H29" i="3"/>
  <c r="J29" i="3"/>
  <c r="K29" i="3"/>
  <c r="M29" i="3"/>
  <c r="O29" i="3"/>
  <c r="P29" i="3"/>
  <c r="Q29" i="3"/>
  <c r="C29" i="3"/>
  <c r="N22" i="3"/>
  <c r="L22" i="3"/>
  <c r="I22" i="3"/>
  <c r="G22" i="3"/>
  <c r="L23" i="3"/>
  <c r="I23" i="3"/>
  <c r="G23" i="3"/>
  <c r="N20" i="3"/>
  <c r="L20" i="3"/>
  <c r="I20" i="3"/>
  <c r="G20" i="3"/>
  <c r="N21" i="3"/>
  <c r="L21" i="3"/>
  <c r="I21" i="3"/>
  <c r="G21" i="3"/>
  <c r="N19" i="3"/>
  <c r="L19" i="3"/>
  <c r="I19" i="3"/>
  <c r="G19" i="3"/>
  <c r="N18" i="3"/>
  <c r="L18" i="3"/>
  <c r="I18" i="3"/>
  <c r="G18" i="3"/>
  <c r="N14" i="3"/>
  <c r="L14" i="3"/>
  <c r="I14" i="3"/>
  <c r="G14" i="3"/>
  <c r="N16" i="3"/>
  <c r="L16" i="3"/>
  <c r="I16" i="3"/>
  <c r="G16" i="3"/>
  <c r="L13" i="3"/>
  <c r="I13" i="3"/>
  <c r="G13" i="3"/>
  <c r="N15" i="3"/>
  <c r="L15" i="3"/>
  <c r="I15" i="3"/>
  <c r="G15" i="3"/>
  <c r="N9" i="3"/>
  <c r="L9" i="3"/>
  <c r="I9" i="3"/>
  <c r="G9" i="3"/>
  <c r="N11" i="3"/>
  <c r="L11" i="3"/>
  <c r="I11" i="3"/>
  <c r="G11" i="3"/>
  <c r="N7" i="3"/>
  <c r="L7" i="3"/>
  <c r="I7" i="3"/>
  <c r="G7" i="3"/>
  <c r="N6" i="3"/>
  <c r="L6" i="3"/>
  <c r="I6" i="3"/>
  <c r="G6" i="3"/>
  <c r="N8" i="3"/>
  <c r="L8" i="3"/>
  <c r="I8" i="3"/>
  <c r="G8" i="3"/>
  <c r="N5" i="3"/>
  <c r="L5" i="3"/>
  <c r="I5" i="3"/>
  <c r="G5" i="3"/>
  <c r="N4" i="3"/>
  <c r="L4" i="3"/>
  <c r="I4" i="3"/>
  <c r="G4" i="3"/>
  <c r="N2" i="3"/>
  <c r="L2" i="3"/>
  <c r="I2" i="3"/>
  <c r="G2" i="3"/>
  <c r="L21" i="1"/>
  <c r="I21" i="1"/>
  <c r="G21" i="1"/>
  <c r="N12" i="1"/>
  <c r="L12" i="1"/>
  <c r="I12" i="1"/>
  <c r="G12" i="1"/>
  <c r="N19" i="1"/>
  <c r="L19" i="1"/>
  <c r="I19" i="1"/>
  <c r="G19" i="1"/>
  <c r="N3" i="1"/>
  <c r="N4" i="1"/>
  <c r="N5" i="1"/>
  <c r="N6" i="1"/>
  <c r="N7" i="1"/>
  <c r="N8" i="1"/>
  <c r="N9" i="1"/>
  <c r="N10" i="1"/>
  <c r="N11" i="1"/>
  <c r="N13" i="1"/>
  <c r="N14" i="1"/>
  <c r="N15" i="1"/>
  <c r="N16" i="1"/>
  <c r="N17" i="1"/>
  <c r="N18" i="1"/>
  <c r="N20" i="1"/>
  <c r="N22" i="1"/>
  <c r="N2" i="1"/>
  <c r="L4" i="1"/>
  <c r="L3" i="1"/>
  <c r="L5" i="1"/>
  <c r="L6" i="1"/>
  <c r="L7" i="1"/>
  <c r="L8" i="1"/>
  <c r="L9" i="1"/>
  <c r="L10" i="1"/>
  <c r="L11" i="1"/>
  <c r="L13" i="1"/>
  <c r="L14" i="1"/>
  <c r="L15" i="1"/>
  <c r="L16" i="1"/>
  <c r="L17" i="1"/>
  <c r="L18" i="1"/>
  <c r="L20" i="1"/>
  <c r="L22" i="1"/>
  <c r="L2" i="1"/>
  <c r="I3" i="1"/>
  <c r="I4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20" i="1"/>
  <c r="I22" i="1"/>
  <c r="I2" i="1"/>
  <c r="G3" i="1"/>
  <c r="G4" i="1"/>
  <c r="G5" i="1"/>
  <c r="G6" i="1"/>
  <c r="G7" i="1"/>
  <c r="G8" i="1"/>
  <c r="G9" i="1"/>
  <c r="G10" i="1"/>
  <c r="G11" i="1"/>
  <c r="G13" i="1"/>
  <c r="G14" i="1"/>
  <c r="G15" i="1"/>
  <c r="G16" i="1"/>
  <c r="G17" i="1"/>
  <c r="G18" i="1"/>
  <c r="G20" i="1"/>
  <c r="G22" i="1"/>
  <c r="G2" i="1"/>
  <c r="L29" i="3" l="1"/>
  <c r="AA29" i="3"/>
</calcChain>
</file>

<file path=xl/sharedStrings.xml><?xml version="1.0" encoding="utf-8"?>
<sst xmlns="http://schemas.openxmlformats.org/spreadsheetml/2006/main" count="441" uniqueCount="183">
  <si>
    <t>S.No.</t>
  </si>
  <si>
    <t>State</t>
  </si>
  <si>
    <t>Total No. of Districts</t>
  </si>
  <si>
    <t>No. of Districts Targeted for Rabi DCS</t>
  </si>
  <si>
    <t>Total No. of Villages</t>
  </si>
  <si>
    <t>No. of Villages Geo-referenced</t>
  </si>
  <si>
    <t>% Villages geo-referenced</t>
  </si>
  <si>
    <t>No. of Villages Targeted for Rabi DCS</t>
  </si>
  <si>
    <t>% Villages targeted for Rabi DCS</t>
  </si>
  <si>
    <t>Total No. of Plots</t>
  </si>
  <si>
    <t>No. of Plots Geo-referenced</t>
  </si>
  <si>
    <t>% Plots geo-refenced</t>
  </si>
  <si>
    <t>No. of Plots Targeted for Rabi DCS</t>
  </si>
  <si>
    <t>% Plots targeted for Rabi DCS</t>
  </si>
  <si>
    <t>Total Districts where DCS has started</t>
  </si>
  <si>
    <t>Total Villages where DCS started</t>
  </si>
  <si>
    <t>Total Plots Surveyed- 15.12.2025</t>
  </si>
  <si>
    <t>Total Plots Surveyed- 16.12.2025</t>
  </si>
  <si>
    <t>Total Plots Surveyed- 18.12.2025</t>
  </si>
  <si>
    <t>Total Plots Surveyed- 19.12.2025</t>
  </si>
  <si>
    <t>Total Plots Surveyed- 22.12.2025</t>
  </si>
  <si>
    <t>Total Plots Surveyed- 23.12.2025</t>
  </si>
  <si>
    <t>Total Plots Surveyed- 24.12.2025</t>
  </si>
  <si>
    <t>Total Plots Surveyed- 25.12.2025</t>
  </si>
  <si>
    <t>Total Plots Surveyed- 26.12.2025</t>
  </si>
  <si>
    <t>Total Plots Surveyed- 27.12.2025</t>
  </si>
  <si>
    <t>Total Plots Surveyed- 28.12.2025</t>
  </si>
  <si>
    <t>Total Plots Surveyed- 29.12.2025</t>
  </si>
  <si>
    <t>Total Plots Surveyed- 30.12.2025</t>
  </si>
  <si>
    <t>Total Plots Surveyed- 31.12.2025</t>
  </si>
  <si>
    <t>Total Plots Surveyed- 01.01.2026</t>
  </si>
  <si>
    <t>Total Plots Surveyed- 02.01.2026</t>
  </si>
  <si>
    <t>Total Plots Survyed- 03.01.2026</t>
  </si>
  <si>
    <t>Total Plots Surveyed - 04.01.2026</t>
  </si>
  <si>
    <t>Total Plots Surveyed - 05.01.2026</t>
  </si>
  <si>
    <t>Total Plots Surveyed - 06.01.2026</t>
  </si>
  <si>
    <t>Total Plots Surveyed - 07.01.2026</t>
  </si>
  <si>
    <t>Total Plots Surveyed - 08.01.2026</t>
  </si>
  <si>
    <t>DCS Completion %age(Plot Level)</t>
  </si>
  <si>
    <t>Rabi DCS Activity Start Date</t>
  </si>
  <si>
    <t>Rabi DCS Activity End Date</t>
  </si>
  <si>
    <t>Top 5 Rabi Crops Sown in the State</t>
  </si>
  <si>
    <t>Total Surveyors to Be Deployed</t>
  </si>
  <si>
    <t>Master Trainers Training – Conducted (Yes/No). If No, Proposed Date</t>
  </si>
  <si>
    <t>Surveyors Training – Conducted (Yes/No). If No, Proposed Date</t>
  </si>
  <si>
    <t>Tamil Nadu</t>
  </si>
  <si>
    <t>01.12.2025</t>
  </si>
  <si>
    <t>15.01.2026</t>
  </si>
  <si>
    <t>Rice, Maize, Blackgram, Jowar, Groundnut</t>
  </si>
  <si>
    <t>Yes</t>
  </si>
  <si>
    <t>Maharashtra</t>
  </si>
  <si>
    <t>10.12.2025</t>
  </si>
  <si>
    <t>10.03.2026</t>
  </si>
  <si>
    <t>Gram, Wheat, Onion,Jowar,Maize</t>
  </si>
  <si>
    <t>Andhra Pradesh</t>
  </si>
  <si>
    <t>17.12.2025</t>
  </si>
  <si>
    <t>28.02.2026</t>
  </si>
  <si>
    <t>Paddy, Bengalgram, Blackgram, Maize, Groundnut</t>
  </si>
  <si>
    <t>Kerala</t>
  </si>
  <si>
    <t>15.12.2025</t>
  </si>
  <si>
    <t>Rice, Vegetables, Banana, Legumes, Tubers</t>
  </si>
  <si>
    <t>Jharkhand</t>
  </si>
  <si>
    <t>16.12.2025</t>
  </si>
  <si>
    <t>30.01.2026</t>
  </si>
  <si>
    <t>Wheat, Gram (Chana), Lentil (Masoor), Pea (Matar), Mustard</t>
  </si>
  <si>
    <t>50,000 approx</t>
  </si>
  <si>
    <t>No, 8th to 13th Dec</t>
  </si>
  <si>
    <t>Odisha</t>
  </si>
  <si>
    <t>Paddy, Greengram, Blackgram, Groundnut, Horsegram</t>
  </si>
  <si>
    <t>No, 10-15th Dec 2025</t>
  </si>
  <si>
    <t>Gujarat</t>
  </si>
  <si>
    <t>31.01.2026</t>
  </si>
  <si>
    <t>Wheat, Chickpea, Cumin, Mustard, Maize</t>
  </si>
  <si>
    <t>No, Planning for 3rd Dec</t>
  </si>
  <si>
    <t>No, Planning for 5th Dec by Master Trainers</t>
  </si>
  <si>
    <t>Himachal Pradesh</t>
  </si>
  <si>
    <t>15.03.2026</t>
  </si>
  <si>
    <t>Wheat, Potato, Pea, Mustard, Garlic, Cole Crop, Horticulture Crops (Citrus)</t>
  </si>
  <si>
    <t>At least 1 per Panchayat (Approx 3500 Panchayat)</t>
  </si>
  <si>
    <t xml:space="preserve">No, 15-12-25 to 20-12-25 </t>
  </si>
  <si>
    <t>Bihar</t>
  </si>
  <si>
    <t>28.12.2025</t>
  </si>
  <si>
    <t>31.03.2026</t>
  </si>
  <si>
    <t>Wheat, Lentil, Chickpea, Maize, Indian Mustard</t>
  </si>
  <si>
    <t>No, Proposed by 3rd week of Dec</t>
  </si>
  <si>
    <t>Telangana</t>
  </si>
  <si>
    <t>01.01.2026</t>
  </si>
  <si>
    <t>10.01.2026</t>
  </si>
  <si>
    <t>Paddy, Maize, Jowar, Groundnut, Bengalgram</t>
  </si>
  <si>
    <t>No</t>
  </si>
  <si>
    <t>Mizoram</t>
  </si>
  <si>
    <t>01.01.2025</t>
  </si>
  <si>
    <t>Pea, Cabbage, Mustard, Tomato, Bean</t>
  </si>
  <si>
    <t>Uttar Pradesh</t>
  </si>
  <si>
    <t>15.02.2026</t>
  </si>
  <si>
    <t>Wheat, Mustard, Potato, Pea, Chana, Masoor</t>
  </si>
  <si>
    <t>Not Confirmed</t>
  </si>
  <si>
    <t>No, Proposed in 3rd week of Dec</t>
  </si>
  <si>
    <t>Rajasthan</t>
  </si>
  <si>
    <t>05.03.2026</t>
  </si>
  <si>
    <t>Wheat, Mustard, Chickpea (Gram), Barley, Cumin</t>
  </si>
  <si>
    <t>7,870 Pvt Surveyor + 7,714 Govt Patwari</t>
  </si>
  <si>
    <t>Proposed on 15.12.2025</t>
  </si>
  <si>
    <t>Proposed on 24.12.2025</t>
  </si>
  <si>
    <t>Chhattisgarh</t>
  </si>
  <si>
    <t>01.01.2026 (Approval pending at Administrative Level)</t>
  </si>
  <si>
    <t>15,02.2026 (Approval Pending at Administrative Level)</t>
  </si>
  <si>
    <t>चना,गहू, तबरा/लाख,राई/सरसो,अलसी</t>
  </si>
  <si>
    <t>Yes, on 27.11.2025</t>
  </si>
  <si>
    <t>Master Training conducted, Surveyors training will be conducted by Master Trainers in District</t>
  </si>
  <si>
    <t>Uttarakhand</t>
  </si>
  <si>
    <t>In Plain districts- 1st January 2026
In Hilly districts- 15th January 2026</t>
  </si>
  <si>
    <t>In Plain districts- 15th February 2026
In Hilly districts- 15th May 2026</t>
  </si>
  <si>
    <t>Wheat, Barley, Lentil (Masoor), Mustard, Pea</t>
  </si>
  <si>
    <t>No, in Dec 2nd week</t>
  </si>
  <si>
    <t>Tripura</t>
  </si>
  <si>
    <t>15.01.2025</t>
  </si>
  <si>
    <t>Rice, Oil Seed, Pulse, Maize, Potato</t>
  </si>
  <si>
    <t>Assam</t>
  </si>
  <si>
    <t>05.01.2026</t>
  </si>
  <si>
    <t>20.02.2026</t>
  </si>
  <si>
    <t>Rape &amp; Mustard, Maize, Summer Paddy, Black Gram, Rabi Vegetables</t>
  </si>
  <si>
    <t>No, 19.12.2025</t>
  </si>
  <si>
    <t xml:space="preserve">No. Training shall be conducted by Mastrer Trainer before 31st Dec 2025 </t>
  </si>
  <si>
    <t>Madhya Pradesh</t>
  </si>
  <si>
    <t>21.01.2026</t>
  </si>
  <si>
    <t>No,20.01.2026</t>
  </si>
  <si>
    <t>Andaman &amp; Nicobar</t>
  </si>
  <si>
    <t>01.02.2026</t>
  </si>
  <si>
    <t>18.03.2026</t>
  </si>
  <si>
    <t>1.   Solanaceous crops(Chilli, Brinjal, Tomato etc.)
2.   Cucurbitaceous crops(Cucumber,Bottle gourd, Pumpkin, Water Melon etc.)
3.   Cole crops(Cabbage, Cauliflower, Knolkhol etc.)
4.   Malvaceae crops(Okra)
5.   Leafy Vegetable(Spinach, Amaranthus, Poi etc.)</t>
  </si>
  <si>
    <t>No, to be conducted in the 2nd week of Dec</t>
  </si>
  <si>
    <t>Haryana</t>
  </si>
  <si>
    <t>Wheat, Mustard, Gram, Barley, Potato</t>
  </si>
  <si>
    <t>No, Proposed date 17.12.2025</t>
  </si>
  <si>
    <t>Jammu &amp; Kashmir</t>
  </si>
  <si>
    <t>15.04.2026</t>
  </si>
  <si>
    <t>Oilseed, Wheat, Oats, Vegetables, Field pea</t>
  </si>
  <si>
    <t>No, Proposed Date 05.01.2026</t>
  </si>
  <si>
    <t>Punjab</t>
  </si>
  <si>
    <t>To be finalized</t>
  </si>
  <si>
    <t>15.02.2026 (tentative)</t>
  </si>
  <si>
    <t>15.04.2026 (tentative)</t>
  </si>
  <si>
    <t>Wheat, Gram, Barley, Rabi Oil Seeds, Lentil</t>
  </si>
  <si>
    <t>No, 1st week of Feb (tentative)</t>
  </si>
  <si>
    <t>Karnataka</t>
  </si>
  <si>
    <t>Sikkim</t>
  </si>
  <si>
    <t>Goa</t>
  </si>
  <si>
    <t>Arunachal Pradesh</t>
  </si>
  <si>
    <t>Manipur</t>
  </si>
  <si>
    <t>Total</t>
  </si>
  <si>
    <t>11.12.2025</t>
  </si>
  <si>
    <t xml:space="preserve"> </t>
  </si>
  <si>
    <t>20.12.2025</t>
  </si>
  <si>
    <t>25.12.2025</t>
  </si>
  <si>
    <t>Phase-wise Tentative 24 Dec and later</t>
  </si>
  <si>
    <t>Total Plots Surveyed - 09.01.2026</t>
  </si>
  <si>
    <t>Total Plots Surveyed - 10.01.2026</t>
  </si>
  <si>
    <t>Total Plots Surveyed - 11.01.2026</t>
  </si>
  <si>
    <t>S</t>
  </si>
  <si>
    <t>Total Plots Surveyed - 12.01.2026</t>
  </si>
  <si>
    <t>Total Plots Surveyed - 13.01.2026</t>
  </si>
  <si>
    <t>days</t>
  </si>
  <si>
    <t>Total Days</t>
  </si>
  <si>
    <t>Days Elapsed</t>
  </si>
  <si>
    <t>Required /day</t>
  </si>
  <si>
    <t>Actual /day</t>
  </si>
  <si>
    <t>Required % (Time elapsed)</t>
  </si>
  <si>
    <t>Actual % (Survey done)</t>
  </si>
  <si>
    <t>Gap</t>
  </si>
  <si>
    <t>🔻-70.0%</t>
  </si>
  <si>
    <t>🔻-35.7%</t>
  </si>
  <si>
    <t>🔻-30.0%</t>
  </si>
  <si>
    <r>
      <t xml:space="preserve">✅ </t>
    </r>
    <r>
      <rPr>
        <b/>
        <sz val="11"/>
        <color theme="1"/>
        <rFont val="Aptos Narrow"/>
        <family val="2"/>
        <scheme val="minor"/>
      </rPr>
      <t>+2.2%</t>
    </r>
  </si>
  <si>
    <t>🔻-56.2%</t>
  </si>
  <si>
    <t>🔻-26.8%</t>
  </si>
  <si>
    <t>🔻-4.6% (near track)</t>
  </si>
  <si>
    <t>🔻-29.0%</t>
  </si>
  <si>
    <t>🔻-16.2%</t>
  </si>
  <si>
    <t>🔻-15.6%</t>
  </si>
  <si>
    <t>🔻-18.6%</t>
  </si>
  <si>
    <t>🔻-78.2%</t>
  </si>
  <si>
    <t>🔻-7.9%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</si>
</sst>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3" fontId="0" fillId="3" borderId="1" xfId="0" applyNumberFormat="1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3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wrapText="1"/>
    </xf>
    <xf numFmtId="3" fontId="0" fillId="4" borderId="1" xfId="0" applyNumberFormat="1" applyFill="1" applyBorder="1" applyAlignment="1">
      <alignment horizontal="left" wrapText="1"/>
    </xf>
    <xf numFmtId="3" fontId="6" fillId="0" borderId="1" xfId="0" applyNumberFormat="1" applyFont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9" fontId="0" fillId="3" borderId="1" xfId="1" applyFont="1" applyFill="1" applyBorder="1" applyAlignment="1">
      <alignment horizontal="left"/>
    </xf>
    <xf numFmtId="9" fontId="0" fillId="0" borderId="1" xfId="1" applyFont="1" applyFill="1" applyBorder="1" applyAlignment="1">
      <alignment horizontal="left"/>
    </xf>
    <xf numFmtId="9" fontId="0" fillId="4" borderId="1" xfId="1" applyFont="1" applyFill="1" applyBorder="1" applyAlignment="1">
      <alignment horizontal="left"/>
    </xf>
    <xf numFmtId="0" fontId="9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3" fontId="7" fillId="0" borderId="1" xfId="0" applyNumberFormat="1" applyFont="1" applyBorder="1" applyAlignment="1">
      <alignment horizontal="left"/>
    </xf>
    <xf numFmtId="9" fontId="7" fillId="0" borderId="1" xfId="1" applyFont="1" applyFill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3" fontId="10" fillId="0" borderId="1" xfId="0" applyNumberFormat="1" applyFont="1" applyBorder="1" applyAlignment="1">
      <alignment horizontal="left" vertical="center" wrapText="1"/>
    </xf>
    <xf numFmtId="3" fontId="0" fillId="0" borderId="1" xfId="0" applyNumberFormat="1" applyBorder="1"/>
    <xf numFmtId="0" fontId="11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wrapText="1"/>
    </xf>
    <xf numFmtId="9" fontId="2" fillId="5" borderId="1" xfId="1" applyFont="1" applyFill="1" applyBorder="1" applyAlignment="1">
      <alignment wrapText="1"/>
    </xf>
    <xf numFmtId="9" fontId="0" fillId="0" borderId="0" xfId="1" applyFont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3" fontId="0" fillId="0" borderId="1" xfId="0" applyNumberFormat="1" applyBorder="1" applyAlignment="1">
      <alignment horizontal="left" wrapText="1"/>
    </xf>
    <xf numFmtId="164" fontId="0" fillId="0" borderId="1" xfId="2" applyNumberFormat="1" applyFont="1" applyBorder="1"/>
    <xf numFmtId="1" fontId="0" fillId="4" borderId="1" xfId="2" applyNumberFormat="1" applyFont="1" applyFill="1" applyBorder="1" applyAlignment="1">
      <alignment horizontal="left"/>
    </xf>
    <xf numFmtId="0" fontId="11" fillId="4" borderId="1" xfId="0" applyFont="1" applyFill="1" applyBorder="1" applyAlignment="1">
      <alignment horizontal="left" wrapText="1"/>
    </xf>
    <xf numFmtId="0" fontId="0" fillId="4" borderId="0" xfId="0" applyFill="1"/>
    <xf numFmtId="3" fontId="6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3" fontId="5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3" fontId="0" fillId="8" borderId="1" xfId="0" applyNumberFormat="1" applyFill="1" applyBorder="1" applyAlignment="1">
      <alignment horizontal="left"/>
    </xf>
    <xf numFmtId="1" fontId="0" fillId="8" borderId="1" xfId="2" applyNumberFormat="1" applyFont="1" applyFill="1" applyBorder="1" applyAlignment="1">
      <alignment horizontal="left"/>
    </xf>
    <xf numFmtId="3" fontId="0" fillId="8" borderId="1" xfId="0" applyNumberFormat="1" applyFill="1" applyBorder="1" applyAlignment="1">
      <alignment horizontal="left" wrapText="1"/>
    </xf>
    <xf numFmtId="3" fontId="7" fillId="8" borderId="1" xfId="0" applyNumberFormat="1" applyFont="1" applyFill="1" applyBorder="1" applyAlignment="1">
      <alignment horizontal="left"/>
    </xf>
    <xf numFmtId="0" fontId="0" fillId="8" borderId="1" xfId="0" applyFill="1" applyBorder="1"/>
    <xf numFmtId="3" fontId="0" fillId="8" borderId="1" xfId="0" applyNumberFormat="1" applyFill="1" applyBorder="1"/>
    <xf numFmtId="164" fontId="0" fillId="8" borderId="1" xfId="2" applyNumberFormat="1" applyFont="1" applyFill="1" applyBorder="1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</cellXfs>
  <cellStyles count="3">
    <cellStyle name="Comma" xfId="2" builtinId="3"/>
    <cellStyle name="Normal" xfId="0" builtinId="0"/>
    <cellStyle name="Percent" xfId="1" builtinId="5"/>
  </cellStyles>
  <dxfs count="2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5989-4874-4BDE-B050-D3A1A09EFDAF}">
  <dimension ref="A1:AX35"/>
  <sheetViews>
    <sheetView zoomScale="87" zoomScaleNormal="87" workbookViewId="0">
      <pane xSplit="2" ySplit="1" topLeftCell="N20" activePane="bottomRight" state="frozen"/>
      <selection pane="topRight" activeCell="C1" sqref="C1"/>
      <selection pane="bottomLeft" activeCell="A2" sqref="A2"/>
      <selection pane="bottomRight" activeCell="P30" sqref="P30"/>
    </sheetView>
  </sheetViews>
  <sheetFormatPr defaultRowHeight="14.5" x14ac:dyDescent="0.35"/>
  <cols>
    <col min="1" max="1" width="5.26953125" bestFit="1" customWidth="1"/>
    <col min="2" max="2" width="16.81640625" bestFit="1" customWidth="1"/>
    <col min="3" max="3" width="11.26953125" customWidth="1"/>
    <col min="4" max="4" width="19.26953125" customWidth="1"/>
    <col min="5" max="5" width="18.26953125" customWidth="1"/>
    <col min="6" max="7" width="14.453125" customWidth="1"/>
    <col min="8" max="9" width="18.81640625" customWidth="1"/>
    <col min="10" max="10" width="19" customWidth="1"/>
    <col min="11" max="12" width="14" customWidth="1"/>
    <col min="13" max="15" width="20.453125" customWidth="1"/>
    <col min="16" max="16" width="20.26953125" bestFit="1" customWidth="1"/>
    <col min="17" max="25" width="20.453125" hidden="1" customWidth="1"/>
    <col min="26" max="32" width="21.1796875" hidden="1" customWidth="1"/>
    <col min="33" max="33" width="20" hidden="1" customWidth="1"/>
    <col min="34" max="34" width="21.453125" hidden="1" customWidth="1"/>
    <col min="35" max="37" width="20.453125" hidden="1" customWidth="1"/>
    <col min="38" max="39" width="21.36328125" hidden="1" customWidth="1"/>
    <col min="40" max="43" width="20.453125" customWidth="1"/>
    <col min="44" max="44" width="20.453125" style="36" customWidth="1"/>
    <col min="45" max="45" width="18.81640625" customWidth="1"/>
    <col min="46" max="46" width="19.453125" customWidth="1"/>
    <col min="47" max="47" width="48.1796875" customWidth="1"/>
    <col min="48" max="48" width="20.81640625" customWidth="1"/>
    <col min="49" max="49" width="32.453125" customWidth="1"/>
    <col min="50" max="50" width="32.1796875" customWidth="1"/>
  </cols>
  <sheetData>
    <row r="1" spans="1:50" ht="43.5" x14ac:dyDescent="0.35">
      <c r="A1" s="1" t="s">
        <v>0</v>
      </c>
      <c r="B1" s="1" t="s">
        <v>1</v>
      </c>
      <c r="C1" s="2" t="s">
        <v>2</v>
      </c>
      <c r="D1" s="37" t="s">
        <v>3</v>
      </c>
      <c r="E1" s="2" t="s">
        <v>4</v>
      </c>
      <c r="F1" s="2" t="s">
        <v>5</v>
      </c>
      <c r="G1" s="2" t="s">
        <v>6</v>
      </c>
      <c r="H1" s="37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7" t="s">
        <v>12</v>
      </c>
      <c r="N1" s="2" t="s">
        <v>13</v>
      </c>
      <c r="O1" s="38" t="s">
        <v>14</v>
      </c>
      <c r="P1" s="38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34" t="s">
        <v>25</v>
      </c>
      <c r="AA1" s="34" t="s">
        <v>26</v>
      </c>
      <c r="AB1" s="34" t="s">
        <v>27</v>
      </c>
      <c r="AC1" s="34" t="s">
        <v>28</v>
      </c>
      <c r="AD1" s="34" t="s">
        <v>29</v>
      </c>
      <c r="AE1" s="34" t="s">
        <v>30</v>
      </c>
      <c r="AF1" s="34" t="s">
        <v>31</v>
      </c>
      <c r="AG1" s="34" t="s">
        <v>32</v>
      </c>
      <c r="AH1" s="34" t="s">
        <v>33</v>
      </c>
      <c r="AI1" s="34" t="s">
        <v>34</v>
      </c>
      <c r="AJ1" s="34" t="s">
        <v>35</v>
      </c>
      <c r="AK1" s="34" t="s">
        <v>36</v>
      </c>
      <c r="AL1" s="34" t="s">
        <v>37</v>
      </c>
      <c r="AM1" s="34" t="s">
        <v>156</v>
      </c>
      <c r="AN1" s="34" t="s">
        <v>157</v>
      </c>
      <c r="AO1" s="34" t="s">
        <v>158</v>
      </c>
      <c r="AP1" s="34" t="s">
        <v>160</v>
      </c>
      <c r="AQ1" s="34" t="s">
        <v>161</v>
      </c>
      <c r="AR1" s="35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</row>
    <row r="2" spans="1:50" x14ac:dyDescent="0.35">
      <c r="A2" s="15">
        <v>1</v>
      </c>
      <c r="B2" s="15" t="s">
        <v>45</v>
      </c>
      <c r="C2" s="16">
        <v>38</v>
      </c>
      <c r="D2" s="18">
        <v>37</v>
      </c>
      <c r="E2" s="17">
        <v>17164</v>
      </c>
      <c r="F2" s="17">
        <v>17164</v>
      </c>
      <c r="G2" s="24">
        <f t="shared" ref="G2:G23" si="0">F2/E2</f>
        <v>1</v>
      </c>
      <c r="H2" s="17">
        <v>17116</v>
      </c>
      <c r="I2" s="24">
        <f t="shared" ref="I2:I23" si="1">H2/E2</f>
        <v>0.99720344907946867</v>
      </c>
      <c r="J2" s="17">
        <v>46811114</v>
      </c>
      <c r="K2" s="17">
        <v>42543798</v>
      </c>
      <c r="L2" s="24">
        <f t="shared" ref="L2:L23" si="2">K2/J2</f>
        <v>0.90883968281549543</v>
      </c>
      <c r="M2" s="17">
        <v>42543798</v>
      </c>
      <c r="N2" s="24">
        <f t="shared" ref="N2:N22" si="3">M2/J2</f>
        <v>0.90883968281549543</v>
      </c>
      <c r="O2" s="48">
        <v>37</v>
      </c>
      <c r="P2" s="48">
        <v>16298</v>
      </c>
      <c r="Q2" s="5">
        <v>1026364</v>
      </c>
      <c r="R2" s="5">
        <v>1069452</v>
      </c>
      <c r="S2" s="5">
        <v>1311768</v>
      </c>
      <c r="T2" s="5">
        <v>1454146</v>
      </c>
      <c r="U2" s="5">
        <v>1834770</v>
      </c>
      <c r="V2" s="5">
        <v>2053663</v>
      </c>
      <c r="W2" s="5">
        <v>2296116</v>
      </c>
      <c r="X2" s="5">
        <v>2712234</v>
      </c>
      <c r="Y2" s="5">
        <v>2987676</v>
      </c>
      <c r="Z2" s="5">
        <v>3458945</v>
      </c>
      <c r="AA2" s="5">
        <v>3811979</v>
      </c>
      <c r="AB2" s="5">
        <v>3970297</v>
      </c>
      <c r="AC2" s="5">
        <v>4492300</v>
      </c>
      <c r="AD2" s="5">
        <v>5039095</v>
      </c>
      <c r="AE2" s="5">
        <v>5601452</v>
      </c>
      <c r="AF2" s="5">
        <v>5731067</v>
      </c>
      <c r="AG2" s="5">
        <v>6381389</v>
      </c>
      <c r="AH2" s="5">
        <v>6655559</v>
      </c>
      <c r="AI2" s="5">
        <v>6871606</v>
      </c>
      <c r="AJ2" s="5">
        <v>7266342</v>
      </c>
      <c r="AK2" s="5">
        <v>7750745</v>
      </c>
      <c r="AL2" s="17">
        <v>8363147</v>
      </c>
      <c r="AM2" s="17">
        <v>9120971</v>
      </c>
      <c r="AN2" s="17">
        <v>10900955</v>
      </c>
      <c r="AO2" s="17">
        <v>10900955</v>
      </c>
      <c r="AP2" s="17">
        <v>10900955</v>
      </c>
      <c r="AQ2" s="17">
        <v>11617964</v>
      </c>
      <c r="AR2" s="23">
        <f>AQ2/J2</f>
        <v>0.24818815463353425</v>
      </c>
      <c r="AS2" s="16" t="s">
        <v>46</v>
      </c>
      <c r="AT2" s="16" t="s">
        <v>47</v>
      </c>
      <c r="AU2" s="18" t="s">
        <v>48</v>
      </c>
      <c r="AV2" s="17">
        <v>17116</v>
      </c>
      <c r="AW2" s="16" t="s">
        <v>49</v>
      </c>
      <c r="AX2" s="16" t="s">
        <v>49</v>
      </c>
    </row>
    <row r="3" spans="1:50" x14ac:dyDescent="0.35">
      <c r="A3" s="15">
        <v>2</v>
      </c>
      <c r="B3" s="15" t="s">
        <v>50</v>
      </c>
      <c r="C3" s="16">
        <v>34</v>
      </c>
      <c r="D3" s="16">
        <v>34</v>
      </c>
      <c r="E3" s="16">
        <v>44295</v>
      </c>
      <c r="F3" s="16">
        <v>44219</v>
      </c>
      <c r="G3" s="24">
        <f>F3/E3</f>
        <v>0.99828423072581551</v>
      </c>
      <c r="H3" s="16">
        <v>25391</v>
      </c>
      <c r="I3" s="15"/>
      <c r="J3" s="41">
        <v>32148760</v>
      </c>
      <c r="K3" s="41">
        <v>14078965</v>
      </c>
      <c r="L3" s="24">
        <f>K3/J3</f>
        <v>0.43793182069852771</v>
      </c>
      <c r="M3" s="41">
        <v>32148760</v>
      </c>
      <c r="N3" s="15"/>
      <c r="O3" s="49">
        <v>34</v>
      </c>
      <c r="P3" s="49">
        <v>25391</v>
      </c>
      <c r="Q3" s="3"/>
      <c r="R3" s="5">
        <v>35517</v>
      </c>
      <c r="S3" s="5">
        <v>73992</v>
      </c>
      <c r="T3" s="5">
        <v>89819</v>
      </c>
      <c r="U3" s="5">
        <v>183866</v>
      </c>
      <c r="V3" s="5">
        <v>206649</v>
      </c>
      <c r="W3" s="5">
        <v>219626</v>
      </c>
      <c r="X3" s="5">
        <v>219626</v>
      </c>
      <c r="Y3" s="5">
        <v>219626</v>
      </c>
      <c r="Z3" s="5">
        <v>287929</v>
      </c>
      <c r="AA3" s="5">
        <v>323087</v>
      </c>
      <c r="AB3" s="5">
        <v>347545</v>
      </c>
      <c r="AC3" s="5">
        <v>374509</v>
      </c>
      <c r="AD3" s="5">
        <v>420644</v>
      </c>
      <c r="AE3" s="5">
        <v>444045</v>
      </c>
      <c r="AF3" s="5">
        <v>469737</v>
      </c>
      <c r="AG3" s="5">
        <v>495210</v>
      </c>
      <c r="AH3" s="5">
        <v>495210</v>
      </c>
      <c r="AI3" s="5">
        <v>521013</v>
      </c>
      <c r="AJ3" s="5">
        <v>543008</v>
      </c>
      <c r="AK3" s="5">
        <v>570235</v>
      </c>
      <c r="AL3" s="17">
        <v>591176</v>
      </c>
      <c r="AM3" s="17">
        <v>613029</v>
      </c>
      <c r="AN3" s="17">
        <v>634804</v>
      </c>
      <c r="AO3" s="17">
        <v>634804</v>
      </c>
      <c r="AP3" s="17">
        <v>683360</v>
      </c>
      <c r="AQ3" s="17">
        <v>792082</v>
      </c>
      <c r="AR3" s="23">
        <f>AQ3/J3</f>
        <v>2.4638026474427008E-2</v>
      </c>
      <c r="AS3" s="15" t="s">
        <v>51</v>
      </c>
      <c r="AT3" s="15" t="s">
        <v>52</v>
      </c>
      <c r="AU3" s="15" t="s">
        <v>53</v>
      </c>
      <c r="AV3" s="16">
        <v>64340</v>
      </c>
      <c r="AW3" s="15" t="s">
        <v>49</v>
      </c>
      <c r="AX3" s="15" t="s">
        <v>49</v>
      </c>
    </row>
    <row r="4" spans="1:50" x14ac:dyDescent="0.35">
      <c r="A4" s="15">
        <v>3</v>
      </c>
      <c r="B4" s="15" t="s">
        <v>54</v>
      </c>
      <c r="C4" s="16">
        <v>26</v>
      </c>
      <c r="D4" s="16">
        <v>26</v>
      </c>
      <c r="E4" s="17">
        <v>17558</v>
      </c>
      <c r="F4" s="17">
        <v>13147</v>
      </c>
      <c r="G4" s="24">
        <f t="shared" si="0"/>
        <v>0.74877548695751228</v>
      </c>
      <c r="H4" s="17">
        <v>14296</v>
      </c>
      <c r="I4" s="24">
        <f t="shared" si="1"/>
        <v>0.81421574211185788</v>
      </c>
      <c r="J4" s="17">
        <v>13191602</v>
      </c>
      <c r="K4" s="17">
        <v>11559292</v>
      </c>
      <c r="L4" s="24">
        <f t="shared" si="2"/>
        <v>0.87626142753548808</v>
      </c>
      <c r="M4" s="17">
        <v>13191602</v>
      </c>
      <c r="N4" s="24">
        <f t="shared" si="3"/>
        <v>1</v>
      </c>
      <c r="O4" s="48">
        <v>26</v>
      </c>
      <c r="P4" s="48">
        <v>14327</v>
      </c>
      <c r="Q4" s="5"/>
      <c r="R4" s="5"/>
      <c r="S4" s="5">
        <v>822</v>
      </c>
      <c r="T4" s="5">
        <v>6499</v>
      </c>
      <c r="U4" s="5">
        <v>14276</v>
      </c>
      <c r="V4" s="5">
        <v>45181</v>
      </c>
      <c r="W4" s="5">
        <v>75229</v>
      </c>
      <c r="X4" s="5">
        <v>75229</v>
      </c>
      <c r="Y4" s="5">
        <v>104753</v>
      </c>
      <c r="Z4" s="5">
        <v>104753</v>
      </c>
      <c r="AA4" s="5">
        <v>138292</v>
      </c>
      <c r="AB4" s="5">
        <v>178123</v>
      </c>
      <c r="AC4" s="5">
        <v>232382</v>
      </c>
      <c r="AD4" s="5">
        <v>288574</v>
      </c>
      <c r="AE4" s="5">
        <v>288574</v>
      </c>
      <c r="AF4" s="5">
        <v>319441</v>
      </c>
      <c r="AG4" s="5">
        <v>319441</v>
      </c>
      <c r="AH4" s="5">
        <v>319441</v>
      </c>
      <c r="AI4" s="5">
        <v>319441</v>
      </c>
      <c r="AJ4" s="5">
        <v>319441</v>
      </c>
      <c r="AK4" s="5">
        <v>589603</v>
      </c>
      <c r="AL4" s="17">
        <v>684663</v>
      </c>
      <c r="AM4" s="17">
        <v>794465</v>
      </c>
      <c r="AN4" s="17">
        <v>794465</v>
      </c>
      <c r="AO4" s="17">
        <v>794465</v>
      </c>
      <c r="AP4" s="17">
        <v>928512</v>
      </c>
      <c r="AQ4" s="17">
        <v>1027949</v>
      </c>
      <c r="AR4" s="23">
        <f>AQ4/J4</f>
        <v>7.7924500754343554E-2</v>
      </c>
      <c r="AS4" s="16" t="s">
        <v>55</v>
      </c>
      <c r="AT4" s="16" t="s">
        <v>56</v>
      </c>
      <c r="AU4" s="16" t="s">
        <v>57</v>
      </c>
      <c r="AV4" s="17">
        <v>9000</v>
      </c>
      <c r="AW4" s="16" t="s">
        <v>49</v>
      </c>
      <c r="AX4" s="16" t="s">
        <v>49</v>
      </c>
    </row>
    <row r="5" spans="1:50" x14ac:dyDescent="0.35">
      <c r="A5" s="15">
        <v>4</v>
      </c>
      <c r="B5" s="15" t="s">
        <v>58</v>
      </c>
      <c r="C5" s="16">
        <v>14</v>
      </c>
      <c r="D5" s="16">
        <v>14</v>
      </c>
      <c r="E5" s="17">
        <v>1666</v>
      </c>
      <c r="F5" s="16">
        <v>801</v>
      </c>
      <c r="G5" s="24">
        <f t="shared" si="0"/>
        <v>0.48079231692677071</v>
      </c>
      <c r="H5" s="16">
        <v>600</v>
      </c>
      <c r="I5" s="24">
        <f t="shared" si="1"/>
        <v>0.36014405762304924</v>
      </c>
      <c r="J5" s="17">
        <v>31442791</v>
      </c>
      <c r="K5" s="17">
        <v>15117273</v>
      </c>
      <c r="L5" s="24">
        <f t="shared" si="2"/>
        <v>0.48078661337665601</v>
      </c>
      <c r="M5" s="17">
        <v>9800000</v>
      </c>
      <c r="N5" s="24">
        <f t="shared" si="3"/>
        <v>0.31167716631771014</v>
      </c>
      <c r="O5" s="48">
        <v>14</v>
      </c>
      <c r="P5" s="48">
        <v>573</v>
      </c>
      <c r="Q5" s="5"/>
      <c r="R5" s="5"/>
      <c r="S5" s="5">
        <v>161814</v>
      </c>
      <c r="T5" s="5">
        <v>262221</v>
      </c>
      <c r="U5" s="5">
        <v>635723</v>
      </c>
      <c r="V5" s="5">
        <v>794667</v>
      </c>
      <c r="W5" s="5">
        <v>969157</v>
      </c>
      <c r="X5" s="5">
        <v>1139018</v>
      </c>
      <c r="Y5" s="5">
        <v>1253539</v>
      </c>
      <c r="Z5" s="5">
        <v>1409507</v>
      </c>
      <c r="AA5" s="5">
        <v>1596307</v>
      </c>
      <c r="AB5" s="5">
        <v>1706137</v>
      </c>
      <c r="AC5" s="5">
        <v>1879590</v>
      </c>
      <c r="AD5" s="5">
        <v>2073707</v>
      </c>
      <c r="AE5" s="5">
        <v>2257197</v>
      </c>
      <c r="AF5" s="5">
        <v>2388617</v>
      </c>
      <c r="AG5" s="5">
        <v>2582843</v>
      </c>
      <c r="AH5" s="5">
        <v>2726872</v>
      </c>
      <c r="AI5" s="5">
        <v>2852216</v>
      </c>
      <c r="AJ5" s="5">
        <v>3024795</v>
      </c>
      <c r="AK5" s="5">
        <v>3205065</v>
      </c>
      <c r="AL5" s="17">
        <v>3379544</v>
      </c>
      <c r="AM5" s="17">
        <v>3552472</v>
      </c>
      <c r="AN5" s="17">
        <v>3726886</v>
      </c>
      <c r="AO5" s="17">
        <v>3809886</v>
      </c>
      <c r="AP5" s="17">
        <v>4009339</v>
      </c>
      <c r="AQ5" s="17">
        <v>4282228</v>
      </c>
      <c r="AR5" s="23">
        <f>AQ5/J5</f>
        <v>0.13619109067003626</v>
      </c>
      <c r="AS5" s="16" t="s">
        <v>59</v>
      </c>
      <c r="AT5" s="16" t="s">
        <v>56</v>
      </c>
      <c r="AU5" s="18" t="s">
        <v>60</v>
      </c>
      <c r="AV5" s="17">
        <v>9000</v>
      </c>
      <c r="AW5" s="16" t="s">
        <v>49</v>
      </c>
      <c r="AX5" s="16" t="s">
        <v>49</v>
      </c>
    </row>
    <row r="6" spans="1:50" ht="31.5" customHeight="1" x14ac:dyDescent="0.35">
      <c r="A6" s="15">
        <v>5</v>
      </c>
      <c r="B6" s="15" t="s">
        <v>61</v>
      </c>
      <c r="C6" s="16">
        <v>24</v>
      </c>
      <c r="D6" s="18">
        <v>24</v>
      </c>
      <c r="E6" s="17">
        <v>32739</v>
      </c>
      <c r="F6" s="17">
        <v>32739</v>
      </c>
      <c r="G6" s="24">
        <f t="shared" si="0"/>
        <v>1</v>
      </c>
      <c r="H6" s="17">
        <v>32739</v>
      </c>
      <c r="I6" s="24">
        <f t="shared" si="1"/>
        <v>1</v>
      </c>
      <c r="J6" s="19">
        <v>28278388</v>
      </c>
      <c r="K6" s="17">
        <v>28278388</v>
      </c>
      <c r="L6" s="24">
        <f t="shared" si="2"/>
        <v>1</v>
      </c>
      <c r="M6" s="17">
        <v>28278388</v>
      </c>
      <c r="N6" s="24">
        <f t="shared" si="3"/>
        <v>1</v>
      </c>
      <c r="O6" s="48">
        <v>24</v>
      </c>
      <c r="P6" s="48">
        <v>6701</v>
      </c>
      <c r="Q6" s="5"/>
      <c r="R6" s="5">
        <v>116</v>
      </c>
      <c r="S6" s="5">
        <v>971</v>
      </c>
      <c r="T6" s="5">
        <v>3669</v>
      </c>
      <c r="U6" s="5">
        <v>23205</v>
      </c>
      <c r="V6" s="5">
        <v>33196</v>
      </c>
      <c r="W6" s="5">
        <v>46383</v>
      </c>
      <c r="X6" s="5">
        <v>71046</v>
      </c>
      <c r="Y6" s="5">
        <v>101394</v>
      </c>
      <c r="Z6" s="5">
        <v>123150</v>
      </c>
      <c r="AA6" s="5">
        <v>159954</v>
      </c>
      <c r="AB6" s="5">
        <v>211780</v>
      </c>
      <c r="AC6" s="5">
        <v>246929</v>
      </c>
      <c r="AD6" s="5">
        <v>296978</v>
      </c>
      <c r="AE6" s="5">
        <v>348057</v>
      </c>
      <c r="AF6" s="5">
        <v>395126</v>
      </c>
      <c r="AG6" s="5">
        <v>470312</v>
      </c>
      <c r="AH6" s="5">
        <v>539876</v>
      </c>
      <c r="AI6" s="5">
        <v>667615</v>
      </c>
      <c r="AJ6" s="5">
        <v>763602</v>
      </c>
      <c r="AK6" s="5">
        <v>876504</v>
      </c>
      <c r="AL6" s="17">
        <v>1007106</v>
      </c>
      <c r="AM6" s="17">
        <v>1147617</v>
      </c>
      <c r="AN6" s="17">
        <v>1278360</v>
      </c>
      <c r="AO6" s="17">
        <v>1538176</v>
      </c>
      <c r="AP6" s="17">
        <v>1698278</v>
      </c>
      <c r="AQ6" s="17">
        <v>2002770</v>
      </c>
      <c r="AR6" s="23">
        <f>AQ6/J6</f>
        <v>7.0823343961473328E-2</v>
      </c>
      <c r="AS6" s="16" t="s">
        <v>62</v>
      </c>
      <c r="AT6" s="16" t="s">
        <v>63</v>
      </c>
      <c r="AU6" s="18" t="s">
        <v>64</v>
      </c>
      <c r="AV6" s="16" t="s">
        <v>65</v>
      </c>
      <c r="AW6" s="16" t="s">
        <v>49</v>
      </c>
      <c r="AX6" s="16" t="s">
        <v>66</v>
      </c>
    </row>
    <row r="7" spans="1:50" x14ac:dyDescent="0.35">
      <c r="A7" s="15">
        <v>6</v>
      </c>
      <c r="B7" s="15" t="s">
        <v>67</v>
      </c>
      <c r="C7" s="16">
        <v>30</v>
      </c>
      <c r="D7" s="18">
        <v>30</v>
      </c>
      <c r="E7" s="17">
        <v>51542</v>
      </c>
      <c r="F7" s="17">
        <v>49423</v>
      </c>
      <c r="G7" s="24">
        <f t="shared" si="0"/>
        <v>0.9588878972488456</v>
      </c>
      <c r="H7" s="17">
        <v>49423</v>
      </c>
      <c r="I7" s="24">
        <f t="shared" si="1"/>
        <v>0.9588878972488456</v>
      </c>
      <c r="J7" s="19">
        <v>29502369</v>
      </c>
      <c r="K7" s="19">
        <v>29502369</v>
      </c>
      <c r="L7" s="24">
        <f t="shared" si="2"/>
        <v>1</v>
      </c>
      <c r="M7" s="19">
        <v>29502369</v>
      </c>
      <c r="N7" s="24">
        <f t="shared" si="3"/>
        <v>1</v>
      </c>
      <c r="O7" s="50">
        <v>30</v>
      </c>
      <c r="P7" s="50">
        <v>10396</v>
      </c>
      <c r="Q7" s="39"/>
      <c r="R7" s="39"/>
      <c r="S7" s="39"/>
      <c r="T7" s="39"/>
      <c r="U7" s="39">
        <v>31159</v>
      </c>
      <c r="V7" s="39">
        <v>46907</v>
      </c>
      <c r="W7" s="39">
        <v>80126</v>
      </c>
      <c r="X7" s="39">
        <v>148530</v>
      </c>
      <c r="Y7" s="39">
        <v>203887</v>
      </c>
      <c r="Z7" s="39">
        <v>268031</v>
      </c>
      <c r="AA7" s="39">
        <v>344710</v>
      </c>
      <c r="AB7" s="39">
        <v>420211</v>
      </c>
      <c r="AC7" s="39">
        <v>498357</v>
      </c>
      <c r="AD7" s="39">
        <v>589012</v>
      </c>
      <c r="AE7" s="39">
        <v>678383</v>
      </c>
      <c r="AF7" s="39">
        <v>759936</v>
      </c>
      <c r="AG7" s="39">
        <v>884684</v>
      </c>
      <c r="AH7" s="5">
        <v>1046180</v>
      </c>
      <c r="AI7" s="5">
        <v>1232668</v>
      </c>
      <c r="AJ7" s="5">
        <v>1438894</v>
      </c>
      <c r="AK7" s="5">
        <v>1685022</v>
      </c>
      <c r="AL7" s="17">
        <v>1992366</v>
      </c>
      <c r="AM7" s="17">
        <v>2300438</v>
      </c>
      <c r="AN7" s="17"/>
      <c r="AO7" s="17">
        <v>2847468</v>
      </c>
      <c r="AP7" s="17">
        <v>3257877</v>
      </c>
      <c r="AQ7" s="17">
        <v>3652875</v>
      </c>
      <c r="AR7" s="23">
        <f>AQ7/J7</f>
        <v>0.12381632810571924</v>
      </c>
      <c r="AS7" s="16" t="s">
        <v>62</v>
      </c>
      <c r="AT7" s="21" t="s">
        <v>56</v>
      </c>
      <c r="AU7" s="18" t="s">
        <v>68</v>
      </c>
      <c r="AV7" s="17">
        <v>30000</v>
      </c>
      <c r="AW7" s="16" t="s">
        <v>69</v>
      </c>
      <c r="AX7" s="16" t="s">
        <v>69</v>
      </c>
    </row>
    <row r="8" spans="1:50" ht="29" x14ac:dyDescent="0.35">
      <c r="A8" s="15">
        <v>7</v>
      </c>
      <c r="B8" s="15" t="s">
        <v>70</v>
      </c>
      <c r="C8" s="16">
        <v>34</v>
      </c>
      <c r="D8" s="16">
        <v>34</v>
      </c>
      <c r="E8" s="17">
        <v>18464</v>
      </c>
      <c r="F8" s="17">
        <v>18464</v>
      </c>
      <c r="G8" s="24">
        <f t="shared" si="0"/>
        <v>1</v>
      </c>
      <c r="H8" s="17">
        <v>18464</v>
      </c>
      <c r="I8" s="24">
        <f t="shared" si="1"/>
        <v>1</v>
      </c>
      <c r="J8" s="17">
        <v>9500000</v>
      </c>
      <c r="K8" s="17">
        <v>9500000</v>
      </c>
      <c r="L8" s="24">
        <f t="shared" si="2"/>
        <v>1</v>
      </c>
      <c r="M8" s="17">
        <v>9500000</v>
      </c>
      <c r="N8" s="24">
        <f t="shared" si="3"/>
        <v>1</v>
      </c>
      <c r="O8" s="48">
        <v>34</v>
      </c>
      <c r="P8" s="48">
        <v>15623</v>
      </c>
      <c r="Q8" s="5"/>
      <c r="R8" s="5"/>
      <c r="S8" s="5">
        <v>154155</v>
      </c>
      <c r="T8" s="5">
        <v>283489</v>
      </c>
      <c r="U8" s="5">
        <v>787172</v>
      </c>
      <c r="V8" s="5">
        <v>947027</v>
      </c>
      <c r="W8" s="5">
        <v>1134711</v>
      </c>
      <c r="X8" s="5">
        <v>1330551</v>
      </c>
      <c r="Y8" s="5">
        <v>1544425</v>
      </c>
      <c r="Z8" s="5">
        <v>1743183</v>
      </c>
      <c r="AA8" s="5">
        <v>1989223</v>
      </c>
      <c r="AB8" s="5">
        <v>2181933</v>
      </c>
      <c r="AC8" s="5">
        <v>2366833</v>
      </c>
      <c r="AD8" s="5">
        <v>2561832</v>
      </c>
      <c r="AE8" s="5">
        <v>2760893</v>
      </c>
      <c r="AF8" s="5">
        <v>2994370</v>
      </c>
      <c r="AG8" s="5">
        <v>3204188</v>
      </c>
      <c r="AH8" s="5">
        <v>3439656</v>
      </c>
      <c r="AI8" s="5">
        <v>3699789</v>
      </c>
      <c r="AJ8" s="5">
        <v>3922732</v>
      </c>
      <c r="AK8" s="5">
        <v>4180591</v>
      </c>
      <c r="AL8" s="17">
        <v>4425692</v>
      </c>
      <c r="AM8" s="17">
        <v>4659733</v>
      </c>
      <c r="AN8" s="17">
        <v>4880897</v>
      </c>
      <c r="AO8" s="17">
        <v>5129756</v>
      </c>
      <c r="AP8" s="17">
        <v>5350874</v>
      </c>
      <c r="AQ8" s="17">
        <v>5583542</v>
      </c>
      <c r="AR8" s="23">
        <f>AQ8/J8</f>
        <v>0.58774126315789477</v>
      </c>
      <c r="AS8" s="16" t="s">
        <v>62</v>
      </c>
      <c r="AT8" s="16" t="s">
        <v>71</v>
      </c>
      <c r="AU8" s="18" t="s">
        <v>72</v>
      </c>
      <c r="AV8" s="17">
        <v>20000</v>
      </c>
      <c r="AW8" s="16" t="s">
        <v>73</v>
      </c>
      <c r="AX8" s="18" t="s">
        <v>74</v>
      </c>
    </row>
    <row r="9" spans="1:50" ht="43.5" x14ac:dyDescent="0.35">
      <c r="A9" s="15">
        <v>8</v>
      </c>
      <c r="B9" s="15" t="s">
        <v>75</v>
      </c>
      <c r="C9" s="16">
        <v>12</v>
      </c>
      <c r="D9" s="18">
        <v>11</v>
      </c>
      <c r="E9" s="17">
        <v>21592</v>
      </c>
      <c r="F9" s="17">
        <v>18614</v>
      </c>
      <c r="G9" s="24">
        <f>F9/E9</f>
        <v>0.86207854761022606</v>
      </c>
      <c r="H9" s="17">
        <v>5400</v>
      </c>
      <c r="I9" s="24">
        <f>H9/E9</f>
        <v>0.25009262689885142</v>
      </c>
      <c r="J9" s="17">
        <v>13920370</v>
      </c>
      <c r="K9" s="17">
        <v>11919995</v>
      </c>
      <c r="L9" s="24">
        <f>K9/J9</f>
        <v>0.85629871907140398</v>
      </c>
      <c r="M9" s="17">
        <v>2500000</v>
      </c>
      <c r="N9" s="24">
        <f>M9/J9</f>
        <v>0.17959292748684122</v>
      </c>
      <c r="O9" s="48">
        <v>12</v>
      </c>
      <c r="P9" s="48">
        <v>291</v>
      </c>
      <c r="Q9" s="5"/>
      <c r="R9" s="5"/>
      <c r="S9" s="5"/>
      <c r="T9" s="5"/>
      <c r="U9" s="5">
        <v>1118</v>
      </c>
      <c r="V9" s="5">
        <v>1566</v>
      </c>
      <c r="W9" s="5">
        <v>2459</v>
      </c>
      <c r="X9" s="5">
        <v>3345</v>
      </c>
      <c r="Y9" s="5">
        <v>3806</v>
      </c>
      <c r="Z9" s="5">
        <v>4332</v>
      </c>
      <c r="AA9" s="5">
        <v>5016</v>
      </c>
      <c r="AB9" s="5">
        <v>5731</v>
      </c>
      <c r="AC9" s="5">
        <v>6412</v>
      </c>
      <c r="AD9" s="5">
        <v>16058</v>
      </c>
      <c r="AE9" s="5">
        <v>8813</v>
      </c>
      <c r="AF9" s="5">
        <v>9674</v>
      </c>
      <c r="AG9" s="5">
        <v>10673</v>
      </c>
      <c r="AH9" s="5">
        <v>11157</v>
      </c>
      <c r="AI9" s="5">
        <v>13982</v>
      </c>
      <c r="AJ9" s="5">
        <v>16058</v>
      </c>
      <c r="AK9" s="5">
        <v>18810</v>
      </c>
      <c r="AL9" s="17">
        <v>21715</v>
      </c>
      <c r="AM9" s="17">
        <v>25564</v>
      </c>
      <c r="AN9" s="17">
        <v>30499</v>
      </c>
      <c r="AO9" s="17">
        <v>36653</v>
      </c>
      <c r="AP9" s="17">
        <v>43443</v>
      </c>
      <c r="AQ9" s="17">
        <v>50837</v>
      </c>
      <c r="AR9" s="23">
        <f>AQ9/J9</f>
        <v>3.651986261859419E-3</v>
      </c>
      <c r="AS9" s="16" t="s">
        <v>55</v>
      </c>
      <c r="AT9" s="16" t="s">
        <v>76</v>
      </c>
      <c r="AU9" s="18" t="s">
        <v>77</v>
      </c>
      <c r="AV9" s="18" t="s">
        <v>78</v>
      </c>
      <c r="AW9" s="16" t="s">
        <v>49</v>
      </c>
      <c r="AX9" s="16" t="s">
        <v>79</v>
      </c>
    </row>
    <row r="10" spans="1:50" x14ac:dyDescent="0.35">
      <c r="A10" s="15">
        <v>9</v>
      </c>
      <c r="B10" s="15" t="s">
        <v>80</v>
      </c>
      <c r="C10" s="16">
        <v>38</v>
      </c>
      <c r="D10" s="16">
        <v>38</v>
      </c>
      <c r="E10" s="17">
        <v>45536</v>
      </c>
      <c r="F10" s="17">
        <v>38513</v>
      </c>
      <c r="G10" s="24">
        <f t="shared" ref="G10" si="4">F10/E10</f>
        <v>0.84577037947997191</v>
      </c>
      <c r="H10" s="17">
        <v>30416</v>
      </c>
      <c r="I10" s="24">
        <f t="shared" ref="I10" si="5">H10/E10</f>
        <v>0.66795502459592415</v>
      </c>
      <c r="J10" s="17">
        <v>40000000</v>
      </c>
      <c r="K10" s="17">
        <v>19400000</v>
      </c>
      <c r="L10" s="24">
        <f t="shared" ref="L10" si="6">K10/J10</f>
        <v>0.48499999999999999</v>
      </c>
      <c r="M10" s="17">
        <v>19400000</v>
      </c>
      <c r="N10" s="24">
        <f t="shared" ref="N10" si="7">M10/J10</f>
        <v>0.48499999999999999</v>
      </c>
      <c r="O10" s="48">
        <v>34</v>
      </c>
      <c r="P10" s="48">
        <v>2234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21</v>
      </c>
      <c r="AD10" s="5">
        <v>478</v>
      </c>
      <c r="AE10" s="5">
        <v>2371</v>
      </c>
      <c r="AF10" s="5">
        <v>5476</v>
      </c>
      <c r="AG10" s="5">
        <v>16502</v>
      </c>
      <c r="AH10" s="5">
        <v>30827</v>
      </c>
      <c r="AI10" s="5">
        <v>49530</v>
      </c>
      <c r="AJ10" s="5">
        <v>73730</v>
      </c>
      <c r="AK10" s="5">
        <v>101512</v>
      </c>
      <c r="AL10" s="17">
        <v>122665</v>
      </c>
      <c r="AM10" s="17">
        <v>139817</v>
      </c>
      <c r="AN10" s="17">
        <v>157275</v>
      </c>
      <c r="AO10" s="17">
        <v>175512</v>
      </c>
      <c r="AP10" s="17">
        <v>191881</v>
      </c>
      <c r="AQ10" s="17">
        <v>220206</v>
      </c>
      <c r="AR10" s="23">
        <f>AQ10/J10</f>
        <v>5.5051500000000003E-3</v>
      </c>
      <c r="AS10" s="18" t="s">
        <v>81</v>
      </c>
      <c r="AT10" s="16" t="s">
        <v>82</v>
      </c>
      <c r="AU10" s="46" t="s">
        <v>83</v>
      </c>
      <c r="AV10" s="17">
        <v>9211</v>
      </c>
      <c r="AW10" s="16" t="s">
        <v>49</v>
      </c>
      <c r="AX10" s="47" t="s">
        <v>84</v>
      </c>
    </row>
    <row r="11" spans="1:50" x14ac:dyDescent="0.35">
      <c r="A11" s="3">
        <v>10</v>
      </c>
      <c r="B11" s="3" t="s">
        <v>85</v>
      </c>
      <c r="C11" s="4">
        <v>32</v>
      </c>
      <c r="D11" s="4">
        <v>32</v>
      </c>
      <c r="E11" s="5">
        <v>10621</v>
      </c>
      <c r="F11" s="5">
        <v>9795</v>
      </c>
      <c r="G11" s="23">
        <f t="shared" si="0"/>
        <v>0.92222954524056111</v>
      </c>
      <c r="H11" s="5">
        <v>9795</v>
      </c>
      <c r="I11" s="23">
        <f t="shared" si="1"/>
        <v>0.92222954524056111</v>
      </c>
      <c r="J11" s="5">
        <v>19469000</v>
      </c>
      <c r="K11" s="5">
        <v>17436000</v>
      </c>
      <c r="L11" s="23">
        <f t="shared" si="2"/>
        <v>0.89557758487852479</v>
      </c>
      <c r="M11" s="5">
        <v>17436000</v>
      </c>
      <c r="N11" s="23">
        <f t="shared" si="3"/>
        <v>0.89557758487852479</v>
      </c>
      <c r="O11" s="48"/>
      <c r="P11" s="48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23">
        <f>AQ11/J11</f>
        <v>0</v>
      </c>
      <c r="AS11" s="16" t="s">
        <v>86</v>
      </c>
      <c r="AT11" s="16" t="s">
        <v>87</v>
      </c>
      <c r="AU11" s="16" t="s">
        <v>88</v>
      </c>
      <c r="AV11" s="17">
        <v>6975</v>
      </c>
      <c r="AW11" s="16" t="s">
        <v>49</v>
      </c>
      <c r="AX11" s="16" t="s">
        <v>89</v>
      </c>
    </row>
    <row r="12" spans="1:50" x14ac:dyDescent="0.35">
      <c r="A12" s="3">
        <v>11</v>
      </c>
      <c r="B12" s="3" t="s">
        <v>90</v>
      </c>
      <c r="C12" s="4">
        <v>11</v>
      </c>
      <c r="D12" s="6">
        <v>11</v>
      </c>
      <c r="E12" s="5">
        <v>864</v>
      </c>
      <c r="F12" s="5">
        <v>277</v>
      </c>
      <c r="G12" s="23">
        <f>F12/E12</f>
        <v>0.32060185185185186</v>
      </c>
      <c r="H12" s="5">
        <v>150</v>
      </c>
      <c r="I12" s="23">
        <f>H12/E12</f>
        <v>0.1736111111111111</v>
      </c>
      <c r="J12" s="5">
        <v>45000</v>
      </c>
      <c r="K12" s="5">
        <v>13000</v>
      </c>
      <c r="L12" s="23">
        <f>K12/J12</f>
        <v>0.28888888888888886</v>
      </c>
      <c r="M12" s="5">
        <v>5000</v>
      </c>
      <c r="N12" s="23">
        <f>M12/J12</f>
        <v>0.1111111111111111</v>
      </c>
      <c r="O12" s="48"/>
      <c r="P12" s="48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23">
        <f>AQ12/J12</f>
        <v>0</v>
      </c>
      <c r="AS12" s="16" t="s">
        <v>91</v>
      </c>
      <c r="AT12" s="16" t="s">
        <v>56</v>
      </c>
      <c r="AU12" s="18" t="s">
        <v>92</v>
      </c>
      <c r="AV12" s="16">
        <v>50</v>
      </c>
      <c r="AW12" s="16" t="s">
        <v>49</v>
      </c>
      <c r="AX12" s="16" t="s">
        <v>49</v>
      </c>
    </row>
    <row r="13" spans="1:50" s="43" customFormat="1" x14ac:dyDescent="0.35">
      <c r="A13" s="15">
        <v>12</v>
      </c>
      <c r="B13" s="15" t="s">
        <v>93</v>
      </c>
      <c r="C13" s="16">
        <v>75</v>
      </c>
      <c r="D13" s="18">
        <v>75</v>
      </c>
      <c r="E13" s="17">
        <v>110236</v>
      </c>
      <c r="F13" s="17">
        <v>95765</v>
      </c>
      <c r="G13" s="24">
        <f t="shared" si="0"/>
        <v>0.86872709459704633</v>
      </c>
      <c r="H13" s="17">
        <v>92686</v>
      </c>
      <c r="I13" s="24">
        <f t="shared" si="1"/>
        <v>0.84079611016364886</v>
      </c>
      <c r="J13" s="17">
        <v>76277576</v>
      </c>
      <c r="K13" s="17">
        <v>54594234</v>
      </c>
      <c r="L13" s="24">
        <f t="shared" si="2"/>
        <v>0.71573110818309171</v>
      </c>
      <c r="M13" s="17">
        <v>61145571</v>
      </c>
      <c r="N13" s="24">
        <f>M13/J13</f>
        <v>0.8016192203066338</v>
      </c>
      <c r="O13" s="48">
        <v>75</v>
      </c>
      <c r="P13" s="48">
        <v>46189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5"/>
      <c r="AF13" s="5"/>
      <c r="AG13" s="5"/>
      <c r="AH13" s="5"/>
      <c r="AI13" s="5"/>
      <c r="AJ13" s="5">
        <v>212474</v>
      </c>
      <c r="AK13" s="5">
        <v>758015</v>
      </c>
      <c r="AL13" s="17">
        <v>1864774</v>
      </c>
      <c r="AM13" s="17">
        <v>2586190</v>
      </c>
      <c r="AN13" s="17">
        <v>3457238</v>
      </c>
      <c r="AO13" s="17">
        <v>5107059</v>
      </c>
      <c r="AP13" s="17">
        <v>6781700</v>
      </c>
      <c r="AQ13" s="17">
        <v>8033989</v>
      </c>
      <c r="AR13" s="23">
        <f>AQ13/J13</f>
        <v>0.10532569886594194</v>
      </c>
      <c r="AS13" s="16" t="s">
        <v>86</v>
      </c>
      <c r="AT13" s="16" t="s">
        <v>94</v>
      </c>
      <c r="AU13" s="18" t="s">
        <v>95</v>
      </c>
      <c r="AV13" s="16" t="s">
        <v>96</v>
      </c>
      <c r="AW13" s="16" t="s">
        <v>97</v>
      </c>
      <c r="AX13" s="16" t="s">
        <v>97</v>
      </c>
    </row>
    <row r="14" spans="1:50" s="43" customFormat="1" ht="29" x14ac:dyDescent="0.35">
      <c r="A14" s="15">
        <v>13</v>
      </c>
      <c r="B14" s="15" t="s">
        <v>98</v>
      </c>
      <c r="C14" s="16">
        <v>41</v>
      </c>
      <c r="D14" s="18">
        <v>41</v>
      </c>
      <c r="E14" s="17">
        <v>48909</v>
      </c>
      <c r="F14" s="17">
        <v>48797</v>
      </c>
      <c r="G14" s="24">
        <f t="shared" si="0"/>
        <v>0.99771003291827676</v>
      </c>
      <c r="H14" s="17">
        <v>48797</v>
      </c>
      <c r="I14" s="24">
        <f t="shared" si="1"/>
        <v>0.99771003291827676</v>
      </c>
      <c r="J14" s="44">
        <v>45459806</v>
      </c>
      <c r="K14" s="44">
        <v>45238362</v>
      </c>
      <c r="L14" s="24">
        <f t="shared" si="2"/>
        <v>0.99512879575420976</v>
      </c>
      <c r="M14" s="17">
        <v>28051487</v>
      </c>
      <c r="N14" s="24">
        <f t="shared" si="3"/>
        <v>0.61706130026159811</v>
      </c>
      <c r="O14" s="48">
        <v>41</v>
      </c>
      <c r="P14" s="48">
        <v>7818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5"/>
      <c r="AF14" s="5"/>
      <c r="AG14" s="5"/>
      <c r="AH14" s="5"/>
      <c r="AI14" s="5">
        <v>320000</v>
      </c>
      <c r="AJ14" s="5">
        <v>380000</v>
      </c>
      <c r="AK14" s="5">
        <v>430000</v>
      </c>
      <c r="AL14" s="17">
        <v>330070</v>
      </c>
      <c r="AM14" s="17">
        <v>44079</v>
      </c>
      <c r="AN14" s="17">
        <v>65964</v>
      </c>
      <c r="AO14" s="17">
        <v>93741</v>
      </c>
      <c r="AP14" s="17">
        <v>125653</v>
      </c>
      <c r="AQ14" s="17">
        <v>167660</v>
      </c>
      <c r="AR14" s="23">
        <f>AQ14/J14</f>
        <v>3.6880931696012956E-3</v>
      </c>
      <c r="AS14" s="16" t="s">
        <v>86</v>
      </c>
      <c r="AT14" s="16" t="s">
        <v>99</v>
      </c>
      <c r="AU14" s="18" t="s">
        <v>100</v>
      </c>
      <c r="AV14" s="45" t="s">
        <v>101</v>
      </c>
      <c r="AW14" s="16" t="s">
        <v>102</v>
      </c>
      <c r="AX14" s="16" t="s">
        <v>103</v>
      </c>
    </row>
    <row r="15" spans="1:50" s="43" customFormat="1" ht="43.5" x14ac:dyDescent="0.35">
      <c r="A15" s="15">
        <v>14</v>
      </c>
      <c r="B15" s="15" t="s">
        <v>104</v>
      </c>
      <c r="C15" s="16">
        <v>33</v>
      </c>
      <c r="D15" s="18">
        <v>33</v>
      </c>
      <c r="E15" s="17">
        <v>20551</v>
      </c>
      <c r="F15" s="17">
        <v>18959</v>
      </c>
      <c r="G15" s="24">
        <f t="shared" si="0"/>
        <v>0.92253418325142333</v>
      </c>
      <c r="H15" s="17">
        <v>18959</v>
      </c>
      <c r="I15" s="24">
        <f t="shared" si="1"/>
        <v>0.92253418325142333</v>
      </c>
      <c r="J15" s="17">
        <v>25227439</v>
      </c>
      <c r="K15" s="17">
        <v>18894295</v>
      </c>
      <c r="L15" s="24">
        <f t="shared" si="2"/>
        <v>0.74895810866889823</v>
      </c>
      <c r="M15" s="17">
        <v>18894295</v>
      </c>
      <c r="N15" s="24">
        <f t="shared" si="3"/>
        <v>0.74895810866889823</v>
      </c>
      <c r="O15" s="48">
        <v>25</v>
      </c>
      <c r="P15" s="48">
        <v>980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5"/>
      <c r="AF15" s="5">
        <v>2</v>
      </c>
      <c r="AG15" s="5">
        <v>2761</v>
      </c>
      <c r="AH15" s="5">
        <v>13405</v>
      </c>
      <c r="AI15" s="5">
        <v>37943</v>
      </c>
      <c r="AJ15" s="5">
        <v>65787</v>
      </c>
      <c r="AK15" s="5">
        <v>104456</v>
      </c>
      <c r="AL15" s="17">
        <v>155503</v>
      </c>
      <c r="AM15" s="17">
        <v>200471</v>
      </c>
      <c r="AN15" s="17">
        <v>245576</v>
      </c>
      <c r="AO15" s="17">
        <v>298251</v>
      </c>
      <c r="AP15" s="17">
        <v>338111</v>
      </c>
      <c r="AQ15" s="17">
        <v>427739</v>
      </c>
      <c r="AR15" s="23">
        <f>AQ15/J15</f>
        <v>1.6955308067537096E-2</v>
      </c>
      <c r="AS15" s="18" t="s">
        <v>105</v>
      </c>
      <c r="AT15" s="18" t="s">
        <v>106</v>
      </c>
      <c r="AU15" s="42" t="s">
        <v>107</v>
      </c>
      <c r="AV15" s="17">
        <v>40000</v>
      </c>
      <c r="AW15" s="16" t="s">
        <v>108</v>
      </c>
      <c r="AX15" s="18" t="s">
        <v>109</v>
      </c>
    </row>
    <row r="16" spans="1:50" s="43" customFormat="1" ht="58" x14ac:dyDescent="0.35">
      <c r="A16" s="15">
        <v>15</v>
      </c>
      <c r="B16" s="15" t="s">
        <v>110</v>
      </c>
      <c r="C16" s="16">
        <v>13</v>
      </c>
      <c r="D16" s="16">
        <v>13</v>
      </c>
      <c r="E16" s="17">
        <v>16691</v>
      </c>
      <c r="F16" s="17">
        <v>16689</v>
      </c>
      <c r="G16" s="24">
        <f t="shared" si="0"/>
        <v>0.99988017494458092</v>
      </c>
      <c r="H16" s="17">
        <v>6300</v>
      </c>
      <c r="I16" s="24">
        <f t="shared" si="1"/>
        <v>0.37744892457012763</v>
      </c>
      <c r="J16" s="17">
        <v>28383886</v>
      </c>
      <c r="K16" s="17">
        <v>28383886</v>
      </c>
      <c r="L16" s="24">
        <f t="shared" si="2"/>
        <v>1</v>
      </c>
      <c r="M16" s="17">
        <v>10713467</v>
      </c>
      <c r="N16" s="24">
        <f t="shared" si="3"/>
        <v>0.37744891590954105</v>
      </c>
      <c r="O16" s="48">
        <v>7</v>
      </c>
      <c r="P16" s="48">
        <v>79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5"/>
      <c r="AF16" s="5"/>
      <c r="AG16" s="5"/>
      <c r="AH16" s="5"/>
      <c r="AI16" s="5">
        <v>44</v>
      </c>
      <c r="AJ16" s="5">
        <v>167</v>
      </c>
      <c r="AK16" s="5">
        <v>256</v>
      </c>
      <c r="AL16" s="17">
        <v>536</v>
      </c>
      <c r="AM16" s="17">
        <v>1051</v>
      </c>
      <c r="AN16" s="17">
        <v>1853</v>
      </c>
      <c r="AO16" s="17">
        <v>2104</v>
      </c>
      <c r="AP16" s="17">
        <v>2358</v>
      </c>
      <c r="AQ16" s="17">
        <v>2987</v>
      </c>
      <c r="AR16" s="23">
        <f>AQ16/J16</f>
        <v>1.0523576651907353E-4</v>
      </c>
      <c r="AS16" s="18" t="s">
        <v>111</v>
      </c>
      <c r="AT16" s="18" t="s">
        <v>112</v>
      </c>
      <c r="AU16" s="18" t="s">
        <v>113</v>
      </c>
      <c r="AV16" s="17">
        <v>2300</v>
      </c>
      <c r="AW16" s="16" t="s">
        <v>49</v>
      </c>
      <c r="AX16" s="18" t="s">
        <v>114</v>
      </c>
    </row>
    <row r="17" spans="1:50" x14ac:dyDescent="0.35">
      <c r="A17" s="3">
        <v>16</v>
      </c>
      <c r="B17" s="3" t="s">
        <v>115</v>
      </c>
      <c r="C17" s="4">
        <v>8</v>
      </c>
      <c r="D17" s="4">
        <v>8</v>
      </c>
      <c r="E17" s="5">
        <v>897</v>
      </c>
      <c r="F17" s="5">
        <v>897</v>
      </c>
      <c r="G17" s="23">
        <f>F17/E17</f>
        <v>1</v>
      </c>
      <c r="H17" s="4">
        <v>450</v>
      </c>
      <c r="I17" s="23">
        <f>H17/E17</f>
        <v>0.50167224080267558</v>
      </c>
      <c r="J17" s="5">
        <v>2200000</v>
      </c>
      <c r="K17" s="5">
        <v>2200000</v>
      </c>
      <c r="L17" s="23">
        <f>K17/J17</f>
        <v>1</v>
      </c>
      <c r="M17" s="5">
        <v>800000</v>
      </c>
      <c r="N17" s="23">
        <f>M17/J17</f>
        <v>0.36363636363636365</v>
      </c>
      <c r="O17" s="48"/>
      <c r="P17" s="48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23">
        <f>AQ17/J17</f>
        <v>0</v>
      </c>
      <c r="AS17" s="4" t="s">
        <v>116</v>
      </c>
      <c r="AT17" s="4" t="s">
        <v>94</v>
      </c>
      <c r="AU17" s="6" t="s">
        <v>117</v>
      </c>
      <c r="AV17" s="4">
        <v>820</v>
      </c>
      <c r="AW17" s="4" t="s">
        <v>49</v>
      </c>
      <c r="AX17" s="6" t="s">
        <v>49</v>
      </c>
    </row>
    <row r="18" spans="1:50" ht="29" x14ac:dyDescent="0.35">
      <c r="A18" s="15">
        <v>17</v>
      </c>
      <c r="B18" s="15" t="s">
        <v>118</v>
      </c>
      <c r="C18" s="16">
        <v>35</v>
      </c>
      <c r="D18" s="16">
        <v>30</v>
      </c>
      <c r="E18" s="17">
        <v>18407</v>
      </c>
      <c r="F18" s="17">
        <v>16237</v>
      </c>
      <c r="G18" s="24">
        <f t="shared" si="0"/>
        <v>0.88211006682240456</v>
      </c>
      <c r="H18" s="17">
        <v>12983</v>
      </c>
      <c r="I18" s="24">
        <f t="shared" si="1"/>
        <v>0.70532949421415769</v>
      </c>
      <c r="J18" s="17">
        <v>3909970</v>
      </c>
      <c r="K18" s="17">
        <v>3909970</v>
      </c>
      <c r="L18" s="24">
        <f t="shared" si="2"/>
        <v>1</v>
      </c>
      <c r="M18" s="17">
        <v>3909970</v>
      </c>
      <c r="N18" s="24">
        <f t="shared" si="3"/>
        <v>1</v>
      </c>
      <c r="O18" s="48">
        <v>29</v>
      </c>
      <c r="P18" s="48">
        <v>2691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1099</v>
      </c>
      <c r="AJ18" s="5">
        <v>9506</v>
      </c>
      <c r="AK18" s="5">
        <v>42296</v>
      </c>
      <c r="AL18" s="17">
        <v>94599</v>
      </c>
      <c r="AM18" s="17">
        <v>159270</v>
      </c>
      <c r="AN18" s="17">
        <v>228142</v>
      </c>
      <c r="AO18" s="17">
        <v>303992</v>
      </c>
      <c r="AP18" s="17">
        <v>370349</v>
      </c>
      <c r="AQ18" s="17">
        <v>419775</v>
      </c>
      <c r="AR18" s="23">
        <f>AQ18/J18</f>
        <v>0.10736015877359673</v>
      </c>
      <c r="AS18" s="4" t="s">
        <v>119</v>
      </c>
      <c r="AT18" s="4" t="s">
        <v>120</v>
      </c>
      <c r="AU18" s="9" t="s">
        <v>121</v>
      </c>
      <c r="AV18" s="5">
        <v>15453</v>
      </c>
      <c r="AW18" s="4" t="s">
        <v>122</v>
      </c>
      <c r="AX18" s="9" t="s">
        <v>123</v>
      </c>
    </row>
    <row r="19" spans="1:50" x14ac:dyDescent="0.35">
      <c r="A19" s="3">
        <v>18</v>
      </c>
      <c r="B19" s="3" t="s">
        <v>124</v>
      </c>
      <c r="C19" s="4">
        <v>55</v>
      </c>
      <c r="D19" s="4">
        <v>55</v>
      </c>
      <c r="E19" s="5">
        <v>56109</v>
      </c>
      <c r="F19" s="5">
        <v>55431</v>
      </c>
      <c r="G19" s="23">
        <f t="shared" si="0"/>
        <v>0.9879163770518099</v>
      </c>
      <c r="H19" s="5">
        <v>55431</v>
      </c>
      <c r="I19" s="23">
        <f t="shared" si="1"/>
        <v>0.9879163770518099</v>
      </c>
      <c r="J19" s="5">
        <v>47875774</v>
      </c>
      <c r="K19" s="5">
        <v>47875774</v>
      </c>
      <c r="L19" s="23">
        <f t="shared" si="2"/>
        <v>1</v>
      </c>
      <c r="M19" s="5">
        <v>47875774</v>
      </c>
      <c r="N19" s="23">
        <f t="shared" si="3"/>
        <v>1</v>
      </c>
      <c r="O19" s="48"/>
      <c r="P19" s="48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23">
        <f>AQ19/J19</f>
        <v>0</v>
      </c>
      <c r="AS19" s="6" t="s">
        <v>125</v>
      </c>
      <c r="AT19" s="4" t="s">
        <v>56</v>
      </c>
      <c r="AU19" s="10"/>
      <c r="AV19" s="5">
        <v>85000</v>
      </c>
      <c r="AW19" s="4" t="s">
        <v>126</v>
      </c>
      <c r="AX19" s="4" t="s">
        <v>126</v>
      </c>
    </row>
    <row r="20" spans="1:50" ht="87" x14ac:dyDescent="0.35">
      <c r="A20" s="3">
        <v>19</v>
      </c>
      <c r="B20" s="3" t="s">
        <v>127</v>
      </c>
      <c r="C20" s="4">
        <v>3</v>
      </c>
      <c r="D20" s="4">
        <v>3</v>
      </c>
      <c r="E20" s="6">
        <v>204</v>
      </c>
      <c r="F20" s="4">
        <v>177</v>
      </c>
      <c r="G20" s="23">
        <f t="shared" si="0"/>
        <v>0.86764705882352944</v>
      </c>
      <c r="H20" s="4">
        <v>177</v>
      </c>
      <c r="I20" s="23">
        <f t="shared" si="1"/>
        <v>0.86764705882352944</v>
      </c>
      <c r="J20" s="5">
        <v>31527</v>
      </c>
      <c r="K20" s="5">
        <v>25410</v>
      </c>
      <c r="L20" s="23">
        <f t="shared" si="2"/>
        <v>0.80597583024074604</v>
      </c>
      <c r="M20" s="5">
        <v>25410</v>
      </c>
      <c r="N20" s="23">
        <f t="shared" si="3"/>
        <v>0.80597583024074604</v>
      </c>
      <c r="O20" s="48"/>
      <c r="P20" s="48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23">
        <f>AQ20/J20</f>
        <v>0</v>
      </c>
      <c r="AS20" s="4" t="s">
        <v>128</v>
      </c>
      <c r="AT20" s="4" t="s">
        <v>129</v>
      </c>
      <c r="AU20" s="6" t="s">
        <v>130</v>
      </c>
      <c r="AV20" s="4">
        <v>177</v>
      </c>
      <c r="AW20" s="4" t="s">
        <v>49</v>
      </c>
      <c r="AX20" s="6" t="s">
        <v>131</v>
      </c>
    </row>
    <row r="21" spans="1:50" s="25" customFormat="1" x14ac:dyDescent="0.35">
      <c r="A21" s="3">
        <v>20</v>
      </c>
      <c r="B21" s="26" t="s">
        <v>132</v>
      </c>
      <c r="C21" s="27">
        <v>22</v>
      </c>
      <c r="D21" s="27">
        <v>22</v>
      </c>
      <c r="E21" s="28">
        <v>7103</v>
      </c>
      <c r="F21" s="28">
        <v>2753</v>
      </c>
      <c r="G21" s="29">
        <f t="shared" si="0"/>
        <v>0.3875827115303393</v>
      </c>
      <c r="H21" s="28">
        <v>2753</v>
      </c>
      <c r="I21" s="29">
        <f t="shared" si="1"/>
        <v>0.3875827115303393</v>
      </c>
      <c r="J21" s="28">
        <v>17846314</v>
      </c>
      <c r="K21" s="28">
        <v>5487977</v>
      </c>
      <c r="L21" s="29">
        <f t="shared" si="2"/>
        <v>0.30751319292039803</v>
      </c>
      <c r="M21" s="28">
        <v>5487977</v>
      </c>
      <c r="N21" s="29">
        <f t="shared" si="3"/>
        <v>0.30751319292039803</v>
      </c>
      <c r="O21" s="51"/>
      <c r="P21" s="5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3">
        <f>AQ21/J21</f>
        <v>0</v>
      </c>
      <c r="AS21" s="30" t="s">
        <v>128</v>
      </c>
      <c r="AT21" s="27" t="s">
        <v>76</v>
      </c>
      <c r="AU21" s="31" t="s">
        <v>133</v>
      </c>
      <c r="AV21" s="28">
        <v>5000</v>
      </c>
      <c r="AW21" s="27" t="s">
        <v>49</v>
      </c>
      <c r="AX21" s="27" t="s">
        <v>134</v>
      </c>
    </row>
    <row r="22" spans="1:50" x14ac:dyDescent="0.35">
      <c r="A22" s="3">
        <v>21</v>
      </c>
      <c r="B22" s="3" t="s">
        <v>135</v>
      </c>
      <c r="C22" s="4">
        <v>20</v>
      </c>
      <c r="D22" s="4">
        <v>20</v>
      </c>
      <c r="E22" s="5">
        <v>6857</v>
      </c>
      <c r="F22" s="5">
        <v>6014</v>
      </c>
      <c r="G22" s="23">
        <f t="shared" si="0"/>
        <v>0.8770599387487239</v>
      </c>
      <c r="H22" s="5">
        <v>1731</v>
      </c>
      <c r="I22" s="23">
        <f t="shared" si="1"/>
        <v>0.25244275922415049</v>
      </c>
      <c r="J22" s="5">
        <v>6000000</v>
      </c>
      <c r="K22" s="5">
        <v>5520000</v>
      </c>
      <c r="L22" s="23">
        <f t="shared" si="2"/>
        <v>0.92</v>
      </c>
      <c r="M22" s="5">
        <v>925732</v>
      </c>
      <c r="N22" s="23">
        <f t="shared" si="3"/>
        <v>0.15428866666666666</v>
      </c>
      <c r="O22" s="48"/>
      <c r="P22" s="48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23">
        <f>AQ22/J22</f>
        <v>0</v>
      </c>
      <c r="AS22" s="4" t="s">
        <v>94</v>
      </c>
      <c r="AT22" s="4" t="s">
        <v>136</v>
      </c>
      <c r="AU22" s="8" t="s">
        <v>137</v>
      </c>
      <c r="AV22" s="4">
        <v>5000</v>
      </c>
      <c r="AW22" s="4" t="s">
        <v>49</v>
      </c>
      <c r="AX22" s="6" t="s">
        <v>138</v>
      </c>
    </row>
    <row r="23" spans="1:50" x14ac:dyDescent="0.35">
      <c r="A23" s="3">
        <v>22</v>
      </c>
      <c r="B23" s="3" t="s">
        <v>139</v>
      </c>
      <c r="C23" s="4">
        <v>23</v>
      </c>
      <c r="D23" s="6">
        <v>23</v>
      </c>
      <c r="E23" s="5">
        <v>13004</v>
      </c>
      <c r="F23" s="5">
        <v>9371</v>
      </c>
      <c r="G23" s="23">
        <f t="shared" si="0"/>
        <v>0.72062442325438325</v>
      </c>
      <c r="H23" s="5">
        <v>9371</v>
      </c>
      <c r="I23" s="23">
        <f t="shared" si="1"/>
        <v>0.72062442325438325</v>
      </c>
      <c r="J23" s="5">
        <v>20802747</v>
      </c>
      <c r="K23" s="5">
        <v>13102354</v>
      </c>
      <c r="L23" s="23">
        <f t="shared" si="2"/>
        <v>0.62983768441735122</v>
      </c>
      <c r="M23" s="5" t="s">
        <v>140</v>
      </c>
      <c r="N23" s="23"/>
      <c r="O23" s="48"/>
      <c r="P23" s="48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23">
        <f>AQ23/J23</f>
        <v>0</v>
      </c>
      <c r="AS23" s="4" t="s">
        <v>141</v>
      </c>
      <c r="AT23" s="4" t="s">
        <v>142</v>
      </c>
      <c r="AU23" s="6" t="s">
        <v>143</v>
      </c>
      <c r="AV23" s="4" t="s">
        <v>140</v>
      </c>
      <c r="AW23" s="4" t="s">
        <v>144</v>
      </c>
      <c r="AX23" s="4" t="s">
        <v>144</v>
      </c>
    </row>
    <row r="24" spans="1:50" x14ac:dyDescent="0.35">
      <c r="A24" s="3">
        <v>23</v>
      </c>
      <c r="B24" s="3" t="s">
        <v>145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52"/>
      <c r="P24" s="52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23" t="e">
        <f>AQ24/J24</f>
        <v>#DIV/0!</v>
      </c>
      <c r="AS24" s="3"/>
      <c r="AT24" s="3"/>
      <c r="AU24" s="3"/>
      <c r="AV24" s="3"/>
      <c r="AW24" s="3"/>
      <c r="AX24" s="3"/>
    </row>
    <row r="25" spans="1:50" x14ac:dyDescent="0.35">
      <c r="A25" s="3">
        <v>24</v>
      </c>
      <c r="B25" s="3" t="s">
        <v>146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2"/>
      <c r="P25" s="52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23" t="e">
        <f>AQ25/J25</f>
        <v>#DIV/0!</v>
      </c>
      <c r="AS25" s="3"/>
      <c r="AT25" s="3"/>
      <c r="AU25" s="3"/>
      <c r="AV25" s="3"/>
      <c r="AW25" s="3"/>
      <c r="AX25" s="3"/>
    </row>
    <row r="26" spans="1:50" x14ac:dyDescent="0.35">
      <c r="A26" s="3">
        <v>25</v>
      </c>
      <c r="B26" s="3" t="s">
        <v>147</v>
      </c>
      <c r="C26" s="3"/>
      <c r="D26" s="3"/>
      <c r="E26" s="3"/>
      <c r="F26" s="3"/>
      <c r="G26" s="3"/>
      <c r="H26" s="32"/>
      <c r="I26" s="3"/>
      <c r="J26" s="3"/>
      <c r="K26" s="3"/>
      <c r="L26" s="3"/>
      <c r="M26" s="32"/>
      <c r="N26" s="3"/>
      <c r="O26" s="53"/>
      <c r="P26" s="53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23" t="e">
        <f>AQ26/J26</f>
        <v>#DIV/0!</v>
      </c>
      <c r="AS26" s="3"/>
      <c r="AT26" s="3"/>
      <c r="AU26" s="3"/>
      <c r="AV26" s="3"/>
      <c r="AW26" s="3"/>
      <c r="AX26" s="3"/>
    </row>
    <row r="27" spans="1:50" x14ac:dyDescent="0.35">
      <c r="A27" s="3">
        <v>26</v>
      </c>
      <c r="B27" s="3" t="s">
        <v>148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52"/>
      <c r="P27" s="52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23" t="e">
        <f>AQ27/J27</f>
        <v>#DIV/0!</v>
      </c>
      <c r="AS27" s="3"/>
      <c r="AT27" s="3"/>
      <c r="AU27" s="3"/>
      <c r="AV27" s="3"/>
      <c r="AW27" s="3"/>
      <c r="AX27" s="3"/>
    </row>
    <row r="28" spans="1:50" x14ac:dyDescent="0.35">
      <c r="A28" s="3">
        <v>27</v>
      </c>
      <c r="B28" s="3" t="s">
        <v>149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2"/>
      <c r="P28" s="52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23" t="e">
        <f>AQ28/J28</f>
        <v>#DIV/0!</v>
      </c>
      <c r="AS28" s="3"/>
      <c r="AT28" s="3"/>
      <c r="AU28" s="3"/>
      <c r="AV28" s="3"/>
      <c r="AW28" s="3"/>
      <c r="AX28" s="3"/>
    </row>
    <row r="29" spans="1:50" x14ac:dyDescent="0.35">
      <c r="A29" s="3"/>
      <c r="B29" s="3" t="s">
        <v>150</v>
      </c>
      <c r="C29" s="3">
        <f>SUM(C2:C28)</f>
        <v>621</v>
      </c>
      <c r="D29" s="3">
        <f>SUM(D2:D28)</f>
        <v>614</v>
      </c>
      <c r="E29" s="3">
        <f>SUM(E2:E28)</f>
        <v>561009</v>
      </c>
      <c r="F29" s="3">
        <f>SUM(F2:F28)</f>
        <v>514246</v>
      </c>
      <c r="G29" s="3"/>
      <c r="H29" s="3">
        <f>SUM(H2:H28)</f>
        <v>453428</v>
      </c>
      <c r="I29" s="3"/>
      <c r="J29" s="3">
        <f>SUM(J2:J28)</f>
        <v>538324433</v>
      </c>
      <c r="K29" s="3">
        <f>SUM(K2:K28)</f>
        <v>424581342</v>
      </c>
      <c r="L29" s="3">
        <f>SUM(L2:L28)</f>
        <v>17.35272945744968</v>
      </c>
      <c r="M29" s="3">
        <f>SUM(M2:M28)</f>
        <v>382135600</v>
      </c>
      <c r="N29" s="3"/>
      <c r="O29" s="54">
        <f>SUM(O2:O28)</f>
        <v>422</v>
      </c>
      <c r="P29" s="54">
        <f>SUM(P2:P28)</f>
        <v>149591</v>
      </c>
      <c r="Q29" s="40">
        <f>SUM(Q2:Q28)</f>
        <v>1026364</v>
      </c>
      <c r="R29" s="32">
        <f>SUM(R2:R28)</f>
        <v>1105085</v>
      </c>
      <c r="S29" s="32"/>
      <c r="T29" s="32">
        <f t="shared" ref="T29:Z29" si="8">SUM(T2:T28)</f>
        <v>2099843</v>
      </c>
      <c r="U29" s="32">
        <f t="shared" si="8"/>
        <v>3511289</v>
      </c>
      <c r="V29" s="32">
        <f t="shared" si="8"/>
        <v>4128856</v>
      </c>
      <c r="W29" s="32">
        <f t="shared" si="8"/>
        <v>4823807</v>
      </c>
      <c r="X29" s="32">
        <f t="shared" si="8"/>
        <v>5699579</v>
      </c>
      <c r="Y29" s="32">
        <f t="shared" si="8"/>
        <v>6419106</v>
      </c>
      <c r="Z29" s="32">
        <f t="shared" si="8"/>
        <v>7399830</v>
      </c>
      <c r="AA29" s="32">
        <f t="shared" ref="AA29:AF29" si="9">SUM(AA2:AA28)</f>
        <v>8368568</v>
      </c>
      <c r="AB29" s="32">
        <f t="shared" si="9"/>
        <v>9021757</v>
      </c>
      <c r="AC29" s="32">
        <f t="shared" si="9"/>
        <v>10097333</v>
      </c>
      <c r="AD29" s="32">
        <f t="shared" si="9"/>
        <v>11286378</v>
      </c>
      <c r="AE29" s="32">
        <f t="shared" si="9"/>
        <v>12389785</v>
      </c>
      <c r="AF29" s="32">
        <f t="shared" si="9"/>
        <v>13073446</v>
      </c>
      <c r="AG29" s="32"/>
      <c r="AH29" s="32">
        <f>SUM(AH2:AH28)</f>
        <v>15278183</v>
      </c>
      <c r="AI29" s="32">
        <f>SUM(AI2:AI28)</f>
        <v>16586946</v>
      </c>
      <c r="AJ29" s="32">
        <f>SUM(AJ2:AJ28)</f>
        <v>18036536</v>
      </c>
      <c r="AK29" s="32">
        <f>SUM(AK2:AK28)</f>
        <v>20313110</v>
      </c>
      <c r="AL29" s="32">
        <f>SUM(AL2:AL28)</f>
        <v>23033556</v>
      </c>
      <c r="AM29" s="32">
        <f t="shared" ref="AM29:AQ29" si="10">SUM(AM2:AM28)</f>
        <v>25345167</v>
      </c>
      <c r="AN29" s="32">
        <f t="shared" si="10"/>
        <v>26402914</v>
      </c>
      <c r="AO29" s="32">
        <f t="shared" si="10"/>
        <v>31672822</v>
      </c>
      <c r="AP29" s="32">
        <f t="shared" si="10"/>
        <v>34682690</v>
      </c>
      <c r="AQ29" s="32">
        <f t="shared" si="10"/>
        <v>38282603</v>
      </c>
      <c r="AR29" s="3"/>
      <c r="AS29" s="3"/>
      <c r="AT29" s="3"/>
      <c r="AU29" s="3"/>
      <c r="AV29" s="3"/>
      <c r="AW29" s="3"/>
      <c r="AX29" s="3"/>
    </row>
    <row r="35" spans="41:41" x14ac:dyDescent="0.35">
      <c r="AO35" t="s">
        <v>159</v>
      </c>
    </row>
  </sheetData>
  <autoFilter ref="A1:AX22" xr:uid="{96226122-D1D1-4526-B9A1-29B204166980}">
    <sortState xmlns:xlrd2="http://schemas.microsoft.com/office/spreadsheetml/2017/richdata2" ref="A2:AX22">
      <sortCondition sortBy="cellColor" ref="AS1:AS22" dxfId="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FF54-FA58-4F6D-9353-9826979454E5}">
  <dimension ref="A1:M30"/>
  <sheetViews>
    <sheetView tabSelected="1" workbookViewId="0">
      <pane ySplit="1" topLeftCell="A4" activePane="bottomLeft" state="frozen"/>
      <selection pane="bottomLeft" activeCell="D14" sqref="D14"/>
    </sheetView>
  </sheetViews>
  <sheetFormatPr defaultRowHeight="14.5" x14ac:dyDescent="0.35"/>
  <cols>
    <col min="1" max="1" width="16.81640625" bestFit="1" customWidth="1"/>
    <col min="2" max="3" width="20.453125" customWidth="1"/>
    <col min="4" max="4" width="18.81640625" customWidth="1"/>
    <col min="5" max="5" width="19.453125" customWidth="1"/>
  </cols>
  <sheetData>
    <row r="1" spans="1:13" ht="43.5" x14ac:dyDescent="0.35">
      <c r="A1" s="1" t="s">
        <v>1</v>
      </c>
      <c r="B1" s="37" t="s">
        <v>12</v>
      </c>
      <c r="C1" s="34" t="s">
        <v>160</v>
      </c>
      <c r="D1" s="2" t="s">
        <v>39</v>
      </c>
      <c r="E1" s="2" t="s">
        <v>40</v>
      </c>
      <c r="F1" t="s">
        <v>162</v>
      </c>
      <c r="G1" s="56" t="s">
        <v>163</v>
      </c>
      <c r="H1" s="56" t="s">
        <v>164</v>
      </c>
      <c r="I1" s="56" t="s">
        <v>165</v>
      </c>
      <c r="J1" s="56" t="s">
        <v>166</v>
      </c>
      <c r="K1" s="56" t="s">
        <v>167</v>
      </c>
      <c r="L1" s="56" t="s">
        <v>168</v>
      </c>
      <c r="M1" s="56" t="s">
        <v>169</v>
      </c>
    </row>
    <row r="2" spans="1:13" ht="29" x14ac:dyDescent="0.35">
      <c r="A2" s="15" t="s">
        <v>45</v>
      </c>
      <c r="B2" s="17">
        <v>42543798</v>
      </c>
      <c r="C2" s="17">
        <v>10900955</v>
      </c>
      <c r="D2" s="16" t="s">
        <v>46</v>
      </c>
      <c r="E2" s="16" t="s">
        <v>47</v>
      </c>
      <c r="F2" s="58">
        <v>45</v>
      </c>
      <c r="G2" s="57">
        <v>45</v>
      </c>
      <c r="H2" s="57">
        <v>43</v>
      </c>
      <c r="I2" s="59">
        <v>945418</v>
      </c>
      <c r="J2" s="59">
        <v>253510</v>
      </c>
      <c r="K2" s="60">
        <v>0.95599999999999996</v>
      </c>
      <c r="L2" s="60">
        <v>0.25600000000000001</v>
      </c>
      <c r="M2" s="57" t="s">
        <v>170</v>
      </c>
    </row>
    <row r="3" spans="1:13" ht="29" x14ac:dyDescent="0.35">
      <c r="A3" s="15" t="s">
        <v>50</v>
      </c>
      <c r="B3" s="41">
        <v>32148760</v>
      </c>
      <c r="C3" s="17">
        <v>683360</v>
      </c>
      <c r="D3" s="15" t="s">
        <v>51</v>
      </c>
      <c r="E3" s="15" t="s">
        <v>52</v>
      </c>
      <c r="F3" s="58">
        <v>90</v>
      </c>
      <c r="G3" s="57">
        <v>90</v>
      </c>
      <c r="H3" s="57">
        <v>34</v>
      </c>
      <c r="I3" s="59">
        <v>357208</v>
      </c>
      <c r="J3" s="59">
        <v>20099</v>
      </c>
      <c r="K3" s="60">
        <v>0.378</v>
      </c>
      <c r="L3" s="60">
        <v>2.1000000000000001E-2</v>
      </c>
      <c r="M3" s="57" t="s">
        <v>171</v>
      </c>
    </row>
    <row r="4" spans="1:13" ht="29" x14ac:dyDescent="0.35">
      <c r="A4" s="15" t="s">
        <v>54</v>
      </c>
      <c r="B4" s="17">
        <v>13191602</v>
      </c>
      <c r="C4" s="17">
        <v>928512</v>
      </c>
      <c r="D4" s="16" t="s">
        <v>55</v>
      </c>
      <c r="E4" s="16" t="s">
        <v>56</v>
      </c>
      <c r="F4" s="58">
        <v>73</v>
      </c>
      <c r="G4" s="57">
        <v>73</v>
      </c>
      <c r="H4" s="57">
        <v>27</v>
      </c>
      <c r="I4" s="59">
        <v>180707</v>
      </c>
      <c r="J4" s="59">
        <v>34389</v>
      </c>
      <c r="K4" s="60">
        <v>0.37</v>
      </c>
      <c r="L4" s="60">
        <v>7.0000000000000007E-2</v>
      </c>
      <c r="M4" s="57" t="s">
        <v>172</v>
      </c>
    </row>
    <row r="5" spans="1:13" ht="29" x14ac:dyDescent="0.35">
      <c r="A5" s="15" t="s">
        <v>58</v>
      </c>
      <c r="B5" s="17">
        <v>9800000</v>
      </c>
      <c r="C5" s="17">
        <v>4009339</v>
      </c>
      <c r="D5" s="16" t="s">
        <v>59</v>
      </c>
      <c r="E5" s="16" t="s">
        <v>56</v>
      </c>
      <c r="F5" s="58">
        <v>75</v>
      </c>
      <c r="G5" s="57">
        <v>75</v>
      </c>
      <c r="H5" s="57">
        <v>29</v>
      </c>
      <c r="I5" s="59">
        <v>130667</v>
      </c>
      <c r="J5" s="59">
        <v>138253</v>
      </c>
      <c r="K5" s="60">
        <v>0.38700000000000001</v>
      </c>
      <c r="L5" s="60">
        <v>0.40899999999999997</v>
      </c>
      <c r="M5" s="57" t="s">
        <v>173</v>
      </c>
    </row>
    <row r="6" spans="1:13" ht="29" x14ac:dyDescent="0.35">
      <c r="A6" s="15" t="s">
        <v>61</v>
      </c>
      <c r="B6" s="17">
        <v>28278388</v>
      </c>
      <c r="C6" s="17">
        <v>1698278</v>
      </c>
      <c r="D6" s="16" t="s">
        <v>62</v>
      </c>
      <c r="E6" s="16" t="s">
        <v>63</v>
      </c>
      <c r="F6" s="58">
        <v>45</v>
      </c>
      <c r="G6" s="57">
        <v>45</v>
      </c>
      <c r="H6" s="57">
        <v>28</v>
      </c>
      <c r="I6" s="59">
        <v>628409</v>
      </c>
      <c r="J6" s="59">
        <v>60653</v>
      </c>
      <c r="K6" s="60">
        <v>0.622</v>
      </c>
      <c r="L6" s="60">
        <v>0.06</v>
      </c>
      <c r="M6" s="57" t="s">
        <v>174</v>
      </c>
    </row>
    <row r="7" spans="1:13" ht="29" x14ac:dyDescent="0.35">
      <c r="A7" s="15" t="s">
        <v>67</v>
      </c>
      <c r="B7" s="19">
        <v>29502369</v>
      </c>
      <c r="C7" s="17">
        <v>3257877</v>
      </c>
      <c r="D7" s="16" t="s">
        <v>62</v>
      </c>
      <c r="E7" s="21" t="s">
        <v>56</v>
      </c>
      <c r="F7" s="58">
        <v>74</v>
      </c>
      <c r="G7" s="57">
        <v>74</v>
      </c>
      <c r="H7" s="57">
        <v>28</v>
      </c>
      <c r="I7" s="59">
        <v>398680</v>
      </c>
      <c r="J7" s="59">
        <v>116353</v>
      </c>
      <c r="K7" s="60">
        <v>0.378</v>
      </c>
      <c r="L7" s="60">
        <v>0.11</v>
      </c>
      <c r="M7" s="57" t="s">
        <v>175</v>
      </c>
    </row>
    <row r="8" spans="1:13" ht="43.5" x14ac:dyDescent="0.35">
      <c r="A8" s="15" t="s">
        <v>70</v>
      </c>
      <c r="B8" s="17">
        <v>9500000</v>
      </c>
      <c r="C8" s="17">
        <v>5350874</v>
      </c>
      <c r="D8" s="16" t="s">
        <v>62</v>
      </c>
      <c r="E8" s="16" t="s">
        <v>71</v>
      </c>
      <c r="F8" s="58">
        <v>46</v>
      </c>
      <c r="G8" s="57">
        <v>46</v>
      </c>
      <c r="H8" s="57">
        <v>28</v>
      </c>
      <c r="I8" s="59">
        <v>206522</v>
      </c>
      <c r="J8" s="59">
        <v>191103</v>
      </c>
      <c r="K8" s="60">
        <v>0.60899999999999999</v>
      </c>
      <c r="L8" s="60">
        <v>0.56299999999999994</v>
      </c>
      <c r="M8" s="57" t="s">
        <v>176</v>
      </c>
    </row>
    <row r="9" spans="1:13" ht="29" x14ac:dyDescent="0.35">
      <c r="A9" s="15" t="s">
        <v>75</v>
      </c>
      <c r="B9" s="17">
        <v>2500000</v>
      </c>
      <c r="C9" s="17">
        <v>43443</v>
      </c>
      <c r="D9" s="16" t="s">
        <v>55</v>
      </c>
      <c r="E9" s="16" t="s">
        <v>76</v>
      </c>
      <c r="F9" s="58">
        <v>88</v>
      </c>
      <c r="G9" s="57">
        <v>88</v>
      </c>
      <c r="H9" s="57">
        <v>27</v>
      </c>
      <c r="I9" s="59">
        <v>28409</v>
      </c>
      <c r="J9" s="59">
        <v>1609</v>
      </c>
      <c r="K9" s="60">
        <v>0.307</v>
      </c>
      <c r="L9" s="60">
        <v>1.7000000000000001E-2</v>
      </c>
      <c r="M9" s="57" t="s">
        <v>177</v>
      </c>
    </row>
    <row r="10" spans="1:13" ht="29" x14ac:dyDescent="0.35">
      <c r="A10" s="15" t="s">
        <v>80</v>
      </c>
      <c r="B10" s="17">
        <v>19400000</v>
      </c>
      <c r="C10" s="17">
        <v>191881</v>
      </c>
      <c r="D10" s="18" t="s">
        <v>81</v>
      </c>
      <c r="E10" s="16" t="s">
        <v>82</v>
      </c>
      <c r="F10" s="58">
        <v>93</v>
      </c>
      <c r="G10" s="57">
        <v>93</v>
      </c>
      <c r="H10" s="57">
        <v>16</v>
      </c>
      <c r="I10" s="59">
        <v>208602</v>
      </c>
      <c r="J10" s="59">
        <v>11993</v>
      </c>
      <c r="K10" s="60">
        <v>0.17199999999999999</v>
      </c>
      <c r="L10" s="60">
        <v>0.01</v>
      </c>
      <c r="M10" s="57" t="s">
        <v>178</v>
      </c>
    </row>
    <row r="11" spans="1:13" ht="29" x14ac:dyDescent="0.35">
      <c r="A11" s="15" t="s">
        <v>93</v>
      </c>
      <c r="B11" s="17">
        <v>61145571</v>
      </c>
      <c r="C11" s="17">
        <v>6781700</v>
      </c>
      <c r="D11" s="16" t="s">
        <v>86</v>
      </c>
      <c r="E11" s="16" t="s">
        <v>94</v>
      </c>
      <c r="F11" s="58">
        <v>45</v>
      </c>
      <c r="G11" s="57">
        <v>45</v>
      </c>
      <c r="H11" s="57">
        <v>12</v>
      </c>
      <c r="I11" s="59">
        <v>1358791</v>
      </c>
      <c r="J11" s="59">
        <v>565142</v>
      </c>
      <c r="K11" s="60">
        <v>0.26700000000000002</v>
      </c>
      <c r="L11" s="60">
        <v>0.111</v>
      </c>
      <c r="M11" s="57" t="s">
        <v>179</v>
      </c>
    </row>
    <row r="12" spans="1:13" ht="29" x14ac:dyDescent="0.35">
      <c r="A12" s="15" t="s">
        <v>98</v>
      </c>
      <c r="B12" s="17">
        <v>28051487</v>
      </c>
      <c r="C12" s="17">
        <v>125653</v>
      </c>
      <c r="D12" s="16" t="s">
        <v>86</v>
      </c>
      <c r="E12" s="16" t="s">
        <v>99</v>
      </c>
      <c r="F12" s="58">
        <v>63</v>
      </c>
      <c r="G12" s="57">
        <v>63</v>
      </c>
      <c r="H12" s="57">
        <v>12</v>
      </c>
      <c r="I12" s="59">
        <v>445262</v>
      </c>
      <c r="J12" s="59">
        <v>10471</v>
      </c>
      <c r="K12" s="60">
        <v>0.19</v>
      </c>
      <c r="L12" s="60">
        <v>4.0000000000000001E-3</v>
      </c>
      <c r="M12" s="57" t="s">
        <v>180</v>
      </c>
    </row>
    <row r="13" spans="1:13" ht="43.5" x14ac:dyDescent="0.35">
      <c r="A13" s="15" t="s">
        <v>104</v>
      </c>
      <c r="B13" s="17">
        <v>18894295</v>
      </c>
      <c r="C13" s="17">
        <v>338111</v>
      </c>
      <c r="D13" s="18" t="s">
        <v>105</v>
      </c>
      <c r="E13" s="18" t="s">
        <v>106</v>
      </c>
      <c r="F13" s="58">
        <v>45</v>
      </c>
      <c r="G13" s="57">
        <v>45</v>
      </c>
      <c r="H13" s="57">
        <v>12</v>
      </c>
      <c r="I13" s="59">
        <v>1259620</v>
      </c>
      <c r="J13" s="59">
        <v>28176</v>
      </c>
      <c r="K13" s="60">
        <v>0.8</v>
      </c>
      <c r="L13" s="60">
        <v>1.7999999999999999E-2</v>
      </c>
      <c r="M13" s="57" t="s">
        <v>181</v>
      </c>
    </row>
    <row r="14" spans="1:13" x14ac:dyDescent="0.35">
      <c r="A14" s="15" t="s">
        <v>118</v>
      </c>
      <c r="B14" s="17">
        <v>3909970</v>
      </c>
      <c r="C14" s="17">
        <v>370349</v>
      </c>
      <c r="D14" s="4" t="s">
        <v>119</v>
      </c>
      <c r="E14" s="4" t="s">
        <v>120</v>
      </c>
      <c r="G14" s="57">
        <v>46</v>
      </c>
      <c r="H14" s="57">
        <v>8</v>
      </c>
      <c r="I14" s="59">
        <v>85216</v>
      </c>
      <c r="J14" s="59">
        <v>46294</v>
      </c>
      <c r="K14" s="60">
        <v>0.17399999999999999</v>
      </c>
      <c r="L14" s="60">
        <v>9.5000000000000001E-2</v>
      </c>
      <c r="M14" s="57" t="s">
        <v>182</v>
      </c>
    </row>
    <row r="15" spans="1:13" x14ac:dyDescent="0.35">
      <c r="A15" s="3" t="s">
        <v>124</v>
      </c>
      <c r="B15" s="5">
        <v>47875774</v>
      </c>
      <c r="C15" s="5"/>
      <c r="D15" s="6" t="s">
        <v>125</v>
      </c>
      <c r="E15" s="4" t="s">
        <v>56</v>
      </c>
      <c r="I15" s="55"/>
      <c r="J15" s="55"/>
    </row>
    <row r="16" spans="1:13" x14ac:dyDescent="0.35">
      <c r="A16" s="3" t="s">
        <v>127</v>
      </c>
      <c r="B16" s="5">
        <v>25410</v>
      </c>
      <c r="C16" s="5"/>
      <c r="D16" s="4" t="s">
        <v>128</v>
      </c>
      <c r="E16" s="4" t="s">
        <v>129</v>
      </c>
    </row>
    <row r="17" spans="1:7" x14ac:dyDescent="0.35">
      <c r="A17" s="26" t="s">
        <v>132</v>
      </c>
      <c r="B17" s="28">
        <v>5487977</v>
      </c>
      <c r="C17" s="28"/>
      <c r="D17" s="30" t="s">
        <v>128</v>
      </c>
      <c r="E17" s="27" t="s">
        <v>76</v>
      </c>
      <c r="G17" s="56"/>
    </row>
    <row r="18" spans="1:7" x14ac:dyDescent="0.35">
      <c r="A18" s="3" t="s">
        <v>135</v>
      </c>
      <c r="B18" s="5">
        <v>925732</v>
      </c>
      <c r="C18" s="5"/>
      <c r="D18" s="4" t="s">
        <v>94</v>
      </c>
      <c r="E18" s="4" t="s">
        <v>136</v>
      </c>
      <c r="G18" s="57"/>
    </row>
    <row r="19" spans="1:7" x14ac:dyDescent="0.35">
      <c r="A19" s="3" t="s">
        <v>139</v>
      </c>
      <c r="B19" s="5" t="s">
        <v>140</v>
      </c>
      <c r="C19" s="5"/>
      <c r="D19" s="4" t="s">
        <v>141</v>
      </c>
      <c r="E19" s="4" t="s">
        <v>142</v>
      </c>
      <c r="G19" s="57"/>
    </row>
    <row r="20" spans="1:7" x14ac:dyDescent="0.35">
      <c r="A20" s="3" t="s">
        <v>145</v>
      </c>
      <c r="B20" s="3"/>
      <c r="C20" s="3"/>
      <c r="D20" s="3"/>
      <c r="E20" s="3"/>
      <c r="G20" s="57"/>
    </row>
    <row r="21" spans="1:7" x14ac:dyDescent="0.35">
      <c r="A21" s="3" t="s">
        <v>146</v>
      </c>
      <c r="B21" s="3"/>
      <c r="C21" s="3"/>
      <c r="D21" s="3"/>
      <c r="E21" s="3"/>
      <c r="G21" s="57"/>
    </row>
    <row r="22" spans="1:7" x14ac:dyDescent="0.35">
      <c r="A22" s="3" t="s">
        <v>147</v>
      </c>
      <c r="B22" s="32"/>
      <c r="C22" s="32"/>
      <c r="D22" s="3"/>
      <c r="E22" s="3"/>
      <c r="G22" s="57"/>
    </row>
    <row r="23" spans="1:7" x14ac:dyDescent="0.35">
      <c r="A23" s="3" t="s">
        <v>148</v>
      </c>
      <c r="B23" s="3"/>
      <c r="C23" s="3"/>
      <c r="D23" s="3"/>
      <c r="E23" s="3"/>
      <c r="G23" s="57"/>
    </row>
    <row r="24" spans="1:7" x14ac:dyDescent="0.35">
      <c r="A24" s="3" t="s">
        <v>149</v>
      </c>
      <c r="B24" s="3"/>
      <c r="C24" s="3"/>
      <c r="D24" s="3"/>
      <c r="E24" s="3"/>
      <c r="G24" s="57"/>
    </row>
    <row r="25" spans="1:7" x14ac:dyDescent="0.35">
      <c r="A25" s="3" t="s">
        <v>150</v>
      </c>
      <c r="B25" s="3">
        <f>SUM(B2:B24)</f>
        <v>353181133</v>
      </c>
      <c r="C25" s="32">
        <f t="shared" ref="C25" si="0">SUM(C2:C24)</f>
        <v>34680332</v>
      </c>
      <c r="D25" s="3"/>
      <c r="E25" s="3"/>
      <c r="G25" s="57"/>
    </row>
    <row r="26" spans="1:7" x14ac:dyDescent="0.35">
      <c r="G26" s="57"/>
    </row>
    <row r="27" spans="1:7" x14ac:dyDescent="0.35">
      <c r="G27" s="57"/>
    </row>
    <row r="28" spans="1:7" x14ac:dyDescent="0.35">
      <c r="G28" s="57"/>
    </row>
    <row r="29" spans="1:7" x14ac:dyDescent="0.35">
      <c r="G29" s="57"/>
    </row>
    <row r="30" spans="1:7" x14ac:dyDescent="0.35">
      <c r="G30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6122-D1D1-4526-B9A1-29B204166980}">
  <dimension ref="A1:T28"/>
  <sheetViews>
    <sheetView zoomScale="70" zoomScaleNormal="70" workbookViewId="0">
      <selection activeCell="L7" sqref="L7"/>
    </sheetView>
  </sheetViews>
  <sheetFormatPr defaultRowHeight="14.5" x14ac:dyDescent="0.35"/>
  <cols>
    <col min="1" max="1" width="5.26953125" bestFit="1" customWidth="1"/>
    <col min="2" max="2" width="16.81640625" bestFit="1" customWidth="1"/>
    <col min="3" max="3" width="11.26953125" customWidth="1"/>
    <col min="4" max="4" width="19.26953125" customWidth="1"/>
    <col min="5" max="5" width="18.26953125" customWidth="1"/>
    <col min="6" max="7" width="14.453125" customWidth="1"/>
    <col min="8" max="9" width="18.81640625" customWidth="1"/>
    <col min="10" max="10" width="19" customWidth="1"/>
    <col min="11" max="12" width="14" customWidth="1"/>
    <col min="13" max="14" width="20.453125" customWidth="1"/>
    <col min="15" max="15" width="18.81640625" customWidth="1"/>
    <col min="16" max="16" width="19.453125" customWidth="1"/>
    <col min="17" max="17" width="48.1796875" customWidth="1"/>
    <col min="18" max="18" width="20.81640625" customWidth="1"/>
    <col min="19" max="19" width="32.453125" customWidth="1"/>
    <col min="20" max="20" width="32.1796875" customWidth="1"/>
  </cols>
  <sheetData>
    <row r="1" spans="1:20" ht="43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</row>
    <row r="2" spans="1:20" x14ac:dyDescent="0.35">
      <c r="A2" s="11">
        <v>1</v>
      </c>
      <c r="B2" s="11" t="s">
        <v>45</v>
      </c>
      <c r="C2" s="12">
        <v>38</v>
      </c>
      <c r="D2" s="13">
        <v>37</v>
      </c>
      <c r="E2" s="14">
        <v>17164</v>
      </c>
      <c r="F2" s="14">
        <v>17164</v>
      </c>
      <c r="G2" s="22">
        <f t="shared" ref="G2:G22" si="0">F2/E2</f>
        <v>1</v>
      </c>
      <c r="H2" s="14">
        <v>17116</v>
      </c>
      <c r="I2" s="22">
        <f t="shared" ref="I2:I22" si="1">H2/E2</f>
        <v>0.99720344907946867</v>
      </c>
      <c r="J2" s="14">
        <v>46811114</v>
      </c>
      <c r="K2" s="14">
        <v>42300095</v>
      </c>
      <c r="L2" s="22">
        <f t="shared" ref="L2:L22" si="2">K2/J2</f>
        <v>0.90363359009144706</v>
      </c>
      <c r="M2" s="14">
        <v>42300095</v>
      </c>
      <c r="N2" s="22">
        <f t="shared" ref="N2:N20" si="3">M2/J2</f>
        <v>0.90363359009144706</v>
      </c>
      <c r="O2" s="12" t="s">
        <v>46</v>
      </c>
      <c r="P2" s="12" t="s">
        <v>47</v>
      </c>
      <c r="Q2" s="13" t="s">
        <v>48</v>
      </c>
      <c r="R2" s="14">
        <v>17116</v>
      </c>
      <c r="S2" s="12" t="s">
        <v>49</v>
      </c>
      <c r="T2" s="12" t="s">
        <v>49</v>
      </c>
    </row>
    <row r="3" spans="1:20" x14ac:dyDescent="0.35">
      <c r="A3" s="11">
        <v>2</v>
      </c>
      <c r="B3" s="11" t="s">
        <v>54</v>
      </c>
      <c r="C3" s="12">
        <v>26</v>
      </c>
      <c r="D3" s="12">
        <v>26</v>
      </c>
      <c r="E3" s="14">
        <v>17558</v>
      </c>
      <c r="F3" s="14">
        <v>13147</v>
      </c>
      <c r="G3" s="22">
        <f t="shared" si="0"/>
        <v>0.74877548695751228</v>
      </c>
      <c r="H3" s="14">
        <v>14296</v>
      </c>
      <c r="I3" s="22">
        <f t="shared" si="1"/>
        <v>0.81421574211185788</v>
      </c>
      <c r="J3" s="14">
        <v>13191602</v>
      </c>
      <c r="K3" s="14">
        <v>11559292</v>
      </c>
      <c r="L3" s="22">
        <f t="shared" si="2"/>
        <v>0.87626142753548808</v>
      </c>
      <c r="M3" s="14">
        <v>13191602</v>
      </c>
      <c r="N3" s="22">
        <f t="shared" si="3"/>
        <v>1</v>
      </c>
      <c r="O3" s="12" t="s">
        <v>151</v>
      </c>
      <c r="P3" s="12" t="s">
        <v>56</v>
      </c>
      <c r="Q3" s="12" t="s">
        <v>57</v>
      </c>
      <c r="R3" s="14">
        <v>9000</v>
      </c>
      <c r="S3" s="12" t="s">
        <v>49</v>
      </c>
      <c r="T3" s="12" t="s">
        <v>49</v>
      </c>
    </row>
    <row r="4" spans="1:20" x14ac:dyDescent="0.35">
      <c r="A4" s="15">
        <v>3</v>
      </c>
      <c r="B4" s="15" t="s">
        <v>58</v>
      </c>
      <c r="C4" s="16">
        <v>14</v>
      </c>
      <c r="D4" s="16" t="s">
        <v>152</v>
      </c>
      <c r="E4" s="17">
        <v>1666</v>
      </c>
      <c r="F4" s="16">
        <v>801</v>
      </c>
      <c r="G4" s="24">
        <f t="shared" si="0"/>
        <v>0.48079231692677071</v>
      </c>
      <c r="H4" s="16">
        <v>600</v>
      </c>
      <c r="I4" s="24">
        <f t="shared" si="1"/>
        <v>0.36014405762304924</v>
      </c>
      <c r="J4" s="17">
        <v>31442791</v>
      </c>
      <c r="K4" s="17">
        <v>15117273</v>
      </c>
      <c r="L4" s="24">
        <f t="shared" si="2"/>
        <v>0.48078661337665601</v>
      </c>
      <c r="M4" s="17">
        <v>9800000</v>
      </c>
      <c r="N4" s="24">
        <f t="shared" si="3"/>
        <v>0.31167716631771014</v>
      </c>
      <c r="O4" s="16" t="s">
        <v>59</v>
      </c>
      <c r="P4" s="16" t="s">
        <v>56</v>
      </c>
      <c r="Q4" s="18" t="s">
        <v>60</v>
      </c>
      <c r="R4" s="17">
        <v>9000</v>
      </c>
      <c r="S4" s="16" t="s">
        <v>49</v>
      </c>
      <c r="T4" s="16" t="s">
        <v>49</v>
      </c>
    </row>
    <row r="5" spans="1:20" ht="29" x14ac:dyDescent="0.35">
      <c r="A5" s="15">
        <v>4</v>
      </c>
      <c r="B5" s="15" t="s">
        <v>70</v>
      </c>
      <c r="C5" s="16">
        <v>34</v>
      </c>
      <c r="D5" s="16">
        <v>34</v>
      </c>
      <c r="E5" s="17">
        <v>18464</v>
      </c>
      <c r="F5" s="17">
        <v>18464</v>
      </c>
      <c r="G5" s="24">
        <f t="shared" si="0"/>
        <v>1</v>
      </c>
      <c r="H5" s="17">
        <v>18464</v>
      </c>
      <c r="I5" s="24">
        <f t="shared" si="1"/>
        <v>1</v>
      </c>
      <c r="J5" s="17">
        <v>9500000</v>
      </c>
      <c r="K5" s="17">
        <v>9500000</v>
      </c>
      <c r="L5" s="24">
        <f t="shared" si="2"/>
        <v>1</v>
      </c>
      <c r="M5" s="17">
        <v>9500000</v>
      </c>
      <c r="N5" s="24">
        <f t="shared" si="3"/>
        <v>1</v>
      </c>
      <c r="O5" s="16" t="s">
        <v>62</v>
      </c>
      <c r="P5" s="16" t="s">
        <v>71</v>
      </c>
      <c r="Q5" s="18" t="s">
        <v>72</v>
      </c>
      <c r="R5" s="17">
        <v>20000</v>
      </c>
      <c r="S5" s="16" t="s">
        <v>73</v>
      </c>
      <c r="T5" s="18" t="s">
        <v>74</v>
      </c>
    </row>
    <row r="6" spans="1:20" ht="29" x14ac:dyDescent="0.35">
      <c r="A6" s="15">
        <v>5</v>
      </c>
      <c r="B6" s="15" t="s">
        <v>61</v>
      </c>
      <c r="C6" s="16">
        <v>24</v>
      </c>
      <c r="D6" s="18">
        <v>24</v>
      </c>
      <c r="E6" s="17">
        <v>32739</v>
      </c>
      <c r="F6" s="17">
        <v>32739</v>
      </c>
      <c r="G6" s="24">
        <f t="shared" si="0"/>
        <v>1</v>
      </c>
      <c r="H6" s="17">
        <v>32739</v>
      </c>
      <c r="I6" s="24">
        <f t="shared" si="1"/>
        <v>1</v>
      </c>
      <c r="J6" s="19">
        <v>28278388</v>
      </c>
      <c r="K6" s="17">
        <v>28278388</v>
      </c>
      <c r="L6" s="24">
        <f t="shared" si="2"/>
        <v>1</v>
      </c>
      <c r="M6" s="17">
        <v>28278388</v>
      </c>
      <c r="N6" s="24">
        <f t="shared" si="3"/>
        <v>1</v>
      </c>
      <c r="O6" s="16" t="s">
        <v>59</v>
      </c>
      <c r="P6" s="16" t="s">
        <v>63</v>
      </c>
      <c r="Q6" s="18" t="s">
        <v>64</v>
      </c>
      <c r="R6" s="16" t="s">
        <v>65</v>
      </c>
      <c r="S6" s="16" t="s">
        <v>49</v>
      </c>
      <c r="T6" s="16" t="s">
        <v>66</v>
      </c>
    </row>
    <row r="7" spans="1:20" x14ac:dyDescent="0.35">
      <c r="A7" s="15">
        <v>6</v>
      </c>
      <c r="B7" s="15" t="s">
        <v>67</v>
      </c>
      <c r="C7" s="16">
        <v>30</v>
      </c>
      <c r="D7" s="18">
        <v>30</v>
      </c>
      <c r="E7" s="17">
        <v>51542</v>
      </c>
      <c r="F7" s="17">
        <v>49423</v>
      </c>
      <c r="G7" s="24">
        <f t="shared" si="0"/>
        <v>0.9588878972488456</v>
      </c>
      <c r="H7" s="17">
        <v>49423</v>
      </c>
      <c r="I7" s="24">
        <f t="shared" si="1"/>
        <v>0.9588878972488456</v>
      </c>
      <c r="J7" s="19">
        <v>29502369</v>
      </c>
      <c r="K7" s="19">
        <v>29502369</v>
      </c>
      <c r="L7" s="24">
        <f t="shared" si="2"/>
        <v>1</v>
      </c>
      <c r="M7" s="19">
        <v>29502369</v>
      </c>
      <c r="N7" s="24">
        <f t="shared" si="3"/>
        <v>1</v>
      </c>
      <c r="O7" s="16" t="s">
        <v>59</v>
      </c>
      <c r="P7" s="21" t="s">
        <v>56</v>
      </c>
      <c r="Q7" s="18" t="s">
        <v>68</v>
      </c>
      <c r="R7" s="17">
        <v>30000</v>
      </c>
      <c r="S7" s="16" t="s">
        <v>69</v>
      </c>
      <c r="T7" s="16" t="s">
        <v>69</v>
      </c>
    </row>
    <row r="8" spans="1:20" x14ac:dyDescent="0.35">
      <c r="A8" s="15">
        <v>7</v>
      </c>
      <c r="B8" s="15" t="s">
        <v>85</v>
      </c>
      <c r="C8" s="16">
        <v>32</v>
      </c>
      <c r="D8" s="16">
        <v>32</v>
      </c>
      <c r="E8" s="17">
        <v>10621</v>
      </c>
      <c r="F8" s="17">
        <v>9795</v>
      </c>
      <c r="G8" s="24">
        <f t="shared" si="0"/>
        <v>0.92222954524056111</v>
      </c>
      <c r="H8" s="17">
        <v>9795</v>
      </c>
      <c r="I8" s="24">
        <f t="shared" si="1"/>
        <v>0.92222954524056111</v>
      </c>
      <c r="J8" s="17">
        <v>19469000</v>
      </c>
      <c r="K8" s="17">
        <v>17436000</v>
      </c>
      <c r="L8" s="24">
        <f t="shared" si="2"/>
        <v>0.89557758487852479</v>
      </c>
      <c r="M8" s="17">
        <v>17436000</v>
      </c>
      <c r="N8" s="24">
        <f t="shared" si="3"/>
        <v>0.89557758487852479</v>
      </c>
      <c r="O8" s="16" t="s">
        <v>153</v>
      </c>
      <c r="P8" s="16" t="s">
        <v>87</v>
      </c>
      <c r="Q8" s="16" t="s">
        <v>88</v>
      </c>
      <c r="R8" s="17">
        <v>6975</v>
      </c>
      <c r="S8" s="16" t="s">
        <v>49</v>
      </c>
      <c r="T8" s="16" t="s">
        <v>89</v>
      </c>
    </row>
    <row r="9" spans="1:20" ht="43.5" x14ac:dyDescent="0.35">
      <c r="A9" s="15">
        <v>8</v>
      </c>
      <c r="B9" s="15" t="s">
        <v>75</v>
      </c>
      <c r="C9" s="16">
        <v>12</v>
      </c>
      <c r="D9" s="18">
        <v>11</v>
      </c>
      <c r="E9" s="17">
        <v>21592</v>
      </c>
      <c r="F9" s="17">
        <v>18614</v>
      </c>
      <c r="G9" s="24">
        <f t="shared" si="0"/>
        <v>0.86207854761022606</v>
      </c>
      <c r="H9" s="17">
        <v>5400</v>
      </c>
      <c r="I9" s="24">
        <f t="shared" si="1"/>
        <v>0.25009262689885142</v>
      </c>
      <c r="J9" s="17">
        <v>13920370</v>
      </c>
      <c r="K9" s="17">
        <v>11919995</v>
      </c>
      <c r="L9" s="24">
        <f t="shared" si="2"/>
        <v>0.85629871907140398</v>
      </c>
      <c r="M9" s="17">
        <v>2500000</v>
      </c>
      <c r="N9" s="24">
        <f t="shared" si="3"/>
        <v>0.17959292748684122</v>
      </c>
      <c r="O9" s="16" t="s">
        <v>154</v>
      </c>
      <c r="P9" s="16" t="s">
        <v>76</v>
      </c>
      <c r="Q9" s="18" t="s">
        <v>77</v>
      </c>
      <c r="R9" s="18" t="s">
        <v>78</v>
      </c>
      <c r="S9" s="16" t="s">
        <v>49</v>
      </c>
      <c r="T9" s="16" t="s">
        <v>79</v>
      </c>
    </row>
    <row r="10" spans="1:20" x14ac:dyDescent="0.35">
      <c r="A10" s="15">
        <v>9</v>
      </c>
      <c r="B10" s="15" t="s">
        <v>115</v>
      </c>
      <c r="C10" s="16">
        <v>8</v>
      </c>
      <c r="D10" s="16">
        <v>8</v>
      </c>
      <c r="E10" s="17">
        <v>897</v>
      </c>
      <c r="F10" s="17">
        <v>897</v>
      </c>
      <c r="G10" s="24">
        <f t="shared" si="0"/>
        <v>1</v>
      </c>
      <c r="H10" s="16">
        <v>450</v>
      </c>
      <c r="I10" s="24">
        <f t="shared" si="1"/>
        <v>0.50167224080267558</v>
      </c>
      <c r="J10" s="17">
        <v>2200000</v>
      </c>
      <c r="K10" s="17">
        <v>2200000</v>
      </c>
      <c r="L10" s="24">
        <f t="shared" si="2"/>
        <v>1</v>
      </c>
      <c r="M10" s="17">
        <v>800000</v>
      </c>
      <c r="N10" s="24">
        <f t="shared" si="3"/>
        <v>0.36363636363636365</v>
      </c>
      <c r="O10" s="16" t="s">
        <v>59</v>
      </c>
      <c r="P10" s="16" t="s">
        <v>94</v>
      </c>
      <c r="Q10" s="18" t="s">
        <v>117</v>
      </c>
      <c r="R10" s="16">
        <v>820</v>
      </c>
      <c r="S10" s="16" t="s">
        <v>49</v>
      </c>
      <c r="T10" s="18" t="s">
        <v>49</v>
      </c>
    </row>
    <row r="11" spans="1:20" x14ac:dyDescent="0.35">
      <c r="A11" s="15">
        <v>10</v>
      </c>
      <c r="B11" s="15" t="s">
        <v>90</v>
      </c>
      <c r="C11" s="16">
        <v>11</v>
      </c>
      <c r="D11" s="18">
        <v>11</v>
      </c>
      <c r="E11" s="17">
        <v>864</v>
      </c>
      <c r="F11" s="17">
        <v>277</v>
      </c>
      <c r="G11" s="24">
        <f t="shared" si="0"/>
        <v>0.32060185185185186</v>
      </c>
      <c r="H11" s="17">
        <v>150</v>
      </c>
      <c r="I11" s="24">
        <f t="shared" si="1"/>
        <v>0.1736111111111111</v>
      </c>
      <c r="J11" s="17">
        <v>45000</v>
      </c>
      <c r="K11" s="17">
        <v>13000</v>
      </c>
      <c r="L11" s="24">
        <f t="shared" si="2"/>
        <v>0.28888888888888886</v>
      </c>
      <c r="M11" s="17">
        <v>5000</v>
      </c>
      <c r="N11" s="24">
        <f t="shared" si="3"/>
        <v>0.1111111111111111</v>
      </c>
      <c r="O11" s="16" t="s">
        <v>59</v>
      </c>
      <c r="P11" s="16" t="s">
        <v>56</v>
      </c>
      <c r="Q11" s="18" t="s">
        <v>92</v>
      </c>
      <c r="R11" s="16">
        <v>50</v>
      </c>
      <c r="S11" s="16" t="s">
        <v>49</v>
      </c>
      <c r="T11" s="16" t="s">
        <v>49</v>
      </c>
    </row>
    <row r="12" spans="1:20" ht="43.5" x14ac:dyDescent="0.35">
      <c r="A12" s="3">
        <v>11</v>
      </c>
      <c r="B12" s="3" t="s">
        <v>104</v>
      </c>
      <c r="C12" s="4">
        <v>33</v>
      </c>
      <c r="D12" s="6">
        <v>33</v>
      </c>
      <c r="E12" s="5">
        <v>20551</v>
      </c>
      <c r="F12" s="5">
        <v>18959</v>
      </c>
      <c r="G12" s="23">
        <f t="shared" si="0"/>
        <v>0.92253418325142333</v>
      </c>
      <c r="H12" s="5">
        <v>18959</v>
      </c>
      <c r="I12" s="23">
        <f t="shared" si="1"/>
        <v>0.92253418325142333</v>
      </c>
      <c r="J12" s="5">
        <v>25227439</v>
      </c>
      <c r="K12" s="5">
        <v>18894295</v>
      </c>
      <c r="L12" s="23">
        <f t="shared" si="2"/>
        <v>0.74895810866889823</v>
      </c>
      <c r="M12" s="5">
        <v>18894295</v>
      </c>
      <c r="N12" s="23">
        <f t="shared" si="3"/>
        <v>0.74895810866889823</v>
      </c>
      <c r="O12" s="6" t="s">
        <v>105</v>
      </c>
      <c r="P12" s="6" t="s">
        <v>106</v>
      </c>
      <c r="Q12" s="33" t="s">
        <v>107</v>
      </c>
      <c r="R12" s="5">
        <v>40000</v>
      </c>
      <c r="S12" s="4" t="s">
        <v>108</v>
      </c>
      <c r="T12" s="6" t="s">
        <v>109</v>
      </c>
    </row>
    <row r="13" spans="1:20" x14ac:dyDescent="0.35">
      <c r="A13" s="3">
        <v>12</v>
      </c>
      <c r="B13" s="3" t="s">
        <v>93</v>
      </c>
      <c r="C13" s="4">
        <v>75</v>
      </c>
      <c r="D13" s="6">
        <v>75</v>
      </c>
      <c r="E13" s="5">
        <v>110236</v>
      </c>
      <c r="F13" s="5">
        <v>95765</v>
      </c>
      <c r="G13" s="23">
        <f t="shared" si="0"/>
        <v>0.86872709459704633</v>
      </c>
      <c r="H13" s="5" t="s">
        <v>96</v>
      </c>
      <c r="I13" s="23" t="e">
        <f t="shared" si="1"/>
        <v>#VALUE!</v>
      </c>
      <c r="J13" s="5">
        <v>76277576</v>
      </c>
      <c r="K13" s="5">
        <v>54594234</v>
      </c>
      <c r="L13" s="23">
        <f t="shared" si="2"/>
        <v>0.71573110818309171</v>
      </c>
      <c r="M13" s="5" t="s">
        <v>96</v>
      </c>
      <c r="N13" s="23" t="e">
        <f t="shared" si="3"/>
        <v>#VALUE!</v>
      </c>
      <c r="O13" s="4" t="s">
        <v>86</v>
      </c>
      <c r="P13" s="4" t="s">
        <v>94</v>
      </c>
      <c r="Q13" s="6" t="s">
        <v>95</v>
      </c>
      <c r="R13" s="4" t="s">
        <v>96</v>
      </c>
      <c r="S13" s="4" t="s">
        <v>97</v>
      </c>
      <c r="T13" s="4" t="s">
        <v>97</v>
      </c>
    </row>
    <row r="14" spans="1:20" ht="58" x14ac:dyDescent="0.35">
      <c r="A14" s="3">
        <v>13</v>
      </c>
      <c r="B14" s="3" t="s">
        <v>110</v>
      </c>
      <c r="C14" s="4">
        <v>13</v>
      </c>
      <c r="D14" s="4">
        <v>13</v>
      </c>
      <c r="E14" s="5">
        <v>16691</v>
      </c>
      <c r="F14" s="5">
        <v>16689</v>
      </c>
      <c r="G14" s="23">
        <f t="shared" si="0"/>
        <v>0.99988017494458092</v>
      </c>
      <c r="H14" s="5">
        <v>6300</v>
      </c>
      <c r="I14" s="23">
        <f t="shared" si="1"/>
        <v>0.37744892457012763</v>
      </c>
      <c r="J14" s="5">
        <v>28383886</v>
      </c>
      <c r="K14" s="5">
        <v>28383886</v>
      </c>
      <c r="L14" s="23">
        <f t="shared" si="2"/>
        <v>1</v>
      </c>
      <c r="M14" s="5">
        <v>10713467</v>
      </c>
      <c r="N14" s="23">
        <f t="shared" si="3"/>
        <v>0.37744891590954105</v>
      </c>
      <c r="O14" s="6" t="s">
        <v>111</v>
      </c>
      <c r="P14" s="6" t="s">
        <v>112</v>
      </c>
      <c r="Q14" s="6" t="s">
        <v>113</v>
      </c>
      <c r="R14" s="5">
        <v>2300</v>
      </c>
      <c r="S14" s="4" t="s">
        <v>49</v>
      </c>
      <c r="T14" s="6" t="s">
        <v>114</v>
      </c>
    </row>
    <row r="15" spans="1:20" ht="29" x14ac:dyDescent="0.35">
      <c r="A15" s="3">
        <v>14</v>
      </c>
      <c r="B15" s="3" t="s">
        <v>98</v>
      </c>
      <c r="C15" s="4">
        <v>41</v>
      </c>
      <c r="D15" s="6">
        <v>41</v>
      </c>
      <c r="E15" s="5">
        <v>48909</v>
      </c>
      <c r="F15" s="5">
        <v>48797</v>
      </c>
      <c r="G15" s="23">
        <f t="shared" si="0"/>
        <v>0.99771003291827676</v>
      </c>
      <c r="H15" s="5">
        <v>48797</v>
      </c>
      <c r="I15" s="23">
        <f t="shared" si="1"/>
        <v>0.99771003291827676</v>
      </c>
      <c r="J15" s="20">
        <v>45459806</v>
      </c>
      <c r="K15" s="20">
        <v>45238362</v>
      </c>
      <c r="L15" s="23">
        <f t="shared" si="2"/>
        <v>0.99512879575420976</v>
      </c>
      <c r="M15" s="5">
        <v>28051487</v>
      </c>
      <c r="N15" s="23">
        <f t="shared" si="3"/>
        <v>0.61706130026159811</v>
      </c>
      <c r="O15" s="4" t="s">
        <v>86</v>
      </c>
      <c r="P15" s="4" t="s">
        <v>99</v>
      </c>
      <c r="Q15" s="6" t="s">
        <v>100</v>
      </c>
      <c r="R15" s="7" t="s">
        <v>101</v>
      </c>
      <c r="S15" s="4" t="s">
        <v>102</v>
      </c>
      <c r="T15" s="4" t="s">
        <v>103</v>
      </c>
    </row>
    <row r="16" spans="1:20" ht="29" x14ac:dyDescent="0.35">
      <c r="A16" s="3">
        <v>15</v>
      </c>
      <c r="B16" s="3" t="s">
        <v>118</v>
      </c>
      <c r="C16" s="4">
        <v>35</v>
      </c>
      <c r="D16" s="4">
        <v>30</v>
      </c>
      <c r="E16" s="5">
        <v>18407</v>
      </c>
      <c r="F16" s="5">
        <v>16237</v>
      </c>
      <c r="G16" s="23">
        <f t="shared" si="0"/>
        <v>0.88211006682240456</v>
      </c>
      <c r="H16" s="5">
        <v>12983</v>
      </c>
      <c r="I16" s="23">
        <f t="shared" si="1"/>
        <v>0.70532949421415769</v>
      </c>
      <c r="J16" s="5">
        <v>3909970</v>
      </c>
      <c r="K16" s="5">
        <v>3909970</v>
      </c>
      <c r="L16" s="23">
        <f t="shared" si="2"/>
        <v>1</v>
      </c>
      <c r="M16" s="5">
        <v>3909970</v>
      </c>
      <c r="N16" s="23">
        <f t="shared" si="3"/>
        <v>1</v>
      </c>
      <c r="O16" s="4" t="s">
        <v>119</v>
      </c>
      <c r="P16" s="4" t="s">
        <v>120</v>
      </c>
      <c r="Q16" s="9" t="s">
        <v>121</v>
      </c>
      <c r="R16" s="5">
        <v>15453</v>
      </c>
      <c r="S16" s="4" t="s">
        <v>122</v>
      </c>
      <c r="T16" s="9" t="s">
        <v>123</v>
      </c>
    </row>
    <row r="17" spans="1:20" ht="29" x14ac:dyDescent="0.35">
      <c r="A17" s="3">
        <v>16</v>
      </c>
      <c r="B17" s="3" t="s">
        <v>80</v>
      </c>
      <c r="C17" s="4">
        <v>38</v>
      </c>
      <c r="D17" s="4">
        <v>38</v>
      </c>
      <c r="E17" s="5">
        <v>45536</v>
      </c>
      <c r="F17" s="5">
        <v>38513</v>
      </c>
      <c r="G17" s="23">
        <f t="shared" si="0"/>
        <v>0.84577037947997191</v>
      </c>
      <c r="H17" s="5">
        <v>30416</v>
      </c>
      <c r="I17" s="23">
        <f t="shared" si="1"/>
        <v>0.66795502459592415</v>
      </c>
      <c r="J17" s="5">
        <v>40000000</v>
      </c>
      <c r="K17" s="5">
        <v>19400000</v>
      </c>
      <c r="L17" s="23">
        <f t="shared" si="2"/>
        <v>0.48499999999999999</v>
      </c>
      <c r="M17" s="5">
        <v>19400000</v>
      </c>
      <c r="N17" s="23">
        <f t="shared" si="3"/>
        <v>0.48499999999999999</v>
      </c>
      <c r="O17" s="6" t="s">
        <v>155</v>
      </c>
      <c r="P17" s="4" t="s">
        <v>82</v>
      </c>
      <c r="Q17" s="10" t="s">
        <v>83</v>
      </c>
      <c r="R17" s="5">
        <v>9211</v>
      </c>
      <c r="S17" s="4" t="s">
        <v>49</v>
      </c>
      <c r="T17" s="9" t="s">
        <v>84</v>
      </c>
    </row>
    <row r="18" spans="1:20" x14ac:dyDescent="0.35">
      <c r="A18" s="3">
        <v>17</v>
      </c>
      <c r="B18" s="3" t="s">
        <v>124</v>
      </c>
      <c r="C18" s="4">
        <v>55</v>
      </c>
      <c r="D18" s="4">
        <v>55</v>
      </c>
      <c r="E18" s="5">
        <v>56109</v>
      </c>
      <c r="F18" s="5">
        <v>55431</v>
      </c>
      <c r="G18" s="23">
        <f t="shared" si="0"/>
        <v>0.9879163770518099</v>
      </c>
      <c r="H18" s="5">
        <v>55431</v>
      </c>
      <c r="I18" s="23">
        <f t="shared" si="1"/>
        <v>0.9879163770518099</v>
      </c>
      <c r="J18" s="5">
        <v>47875774</v>
      </c>
      <c r="K18" s="5">
        <v>47875774</v>
      </c>
      <c r="L18" s="23">
        <f t="shared" si="2"/>
        <v>1</v>
      </c>
      <c r="M18" s="5">
        <v>47875774</v>
      </c>
      <c r="N18" s="23">
        <f t="shared" si="3"/>
        <v>1</v>
      </c>
      <c r="O18" s="6" t="s">
        <v>125</v>
      </c>
      <c r="P18" s="4" t="s">
        <v>56</v>
      </c>
      <c r="Q18" s="10"/>
      <c r="R18" s="5">
        <v>85000</v>
      </c>
      <c r="S18" s="4" t="s">
        <v>126</v>
      </c>
      <c r="T18" s="4" t="s">
        <v>126</v>
      </c>
    </row>
    <row r="19" spans="1:20" s="25" customFormat="1" x14ac:dyDescent="0.35">
      <c r="A19" s="3">
        <v>18</v>
      </c>
      <c r="B19" s="26" t="s">
        <v>132</v>
      </c>
      <c r="C19" s="27">
        <v>22</v>
      </c>
      <c r="D19" s="27">
        <v>22</v>
      </c>
      <c r="E19" s="28">
        <v>7103</v>
      </c>
      <c r="F19" s="28">
        <v>2753</v>
      </c>
      <c r="G19" s="29">
        <f t="shared" si="0"/>
        <v>0.3875827115303393</v>
      </c>
      <c r="H19" s="28">
        <v>2753</v>
      </c>
      <c r="I19" s="29">
        <f t="shared" si="1"/>
        <v>0.3875827115303393</v>
      </c>
      <c r="J19" s="28">
        <v>17846314</v>
      </c>
      <c r="K19" s="28">
        <v>5487977</v>
      </c>
      <c r="L19" s="29">
        <f t="shared" si="2"/>
        <v>0.30751319292039803</v>
      </c>
      <c r="M19" s="28">
        <v>5487977</v>
      </c>
      <c r="N19" s="29">
        <f t="shared" si="3"/>
        <v>0.30751319292039803</v>
      </c>
      <c r="O19" s="30" t="s">
        <v>128</v>
      </c>
      <c r="P19" s="27" t="s">
        <v>76</v>
      </c>
      <c r="Q19" s="31" t="s">
        <v>133</v>
      </c>
      <c r="R19" s="28">
        <v>5000</v>
      </c>
      <c r="S19" s="27" t="s">
        <v>49</v>
      </c>
      <c r="T19" s="27" t="s">
        <v>134</v>
      </c>
    </row>
    <row r="20" spans="1:20" ht="87" x14ac:dyDescent="0.35">
      <c r="A20" s="3">
        <v>19</v>
      </c>
      <c r="B20" s="3" t="s">
        <v>127</v>
      </c>
      <c r="C20" s="4">
        <v>3</v>
      </c>
      <c r="D20" s="4">
        <v>3</v>
      </c>
      <c r="E20" s="6">
        <v>204</v>
      </c>
      <c r="F20" s="4">
        <v>177</v>
      </c>
      <c r="G20" s="23">
        <f t="shared" si="0"/>
        <v>0.86764705882352944</v>
      </c>
      <c r="H20" s="4">
        <v>177</v>
      </c>
      <c r="I20" s="23">
        <f t="shared" si="1"/>
        <v>0.86764705882352944</v>
      </c>
      <c r="J20" s="5">
        <v>31527</v>
      </c>
      <c r="K20" s="5">
        <v>25410</v>
      </c>
      <c r="L20" s="23">
        <f t="shared" si="2"/>
        <v>0.80597583024074604</v>
      </c>
      <c r="M20" s="5">
        <v>25410</v>
      </c>
      <c r="N20" s="23">
        <f t="shared" si="3"/>
        <v>0.80597583024074604</v>
      </c>
      <c r="O20" s="4" t="s">
        <v>128</v>
      </c>
      <c r="P20" s="4" t="s">
        <v>129</v>
      </c>
      <c r="Q20" s="6" t="s">
        <v>130</v>
      </c>
      <c r="R20" s="4">
        <v>177</v>
      </c>
      <c r="S20" s="4" t="s">
        <v>49</v>
      </c>
      <c r="T20" s="6" t="s">
        <v>131</v>
      </c>
    </row>
    <row r="21" spans="1:20" x14ac:dyDescent="0.35">
      <c r="A21" s="3">
        <v>20</v>
      </c>
      <c r="B21" s="3" t="s">
        <v>139</v>
      </c>
      <c r="C21" s="4">
        <v>23</v>
      </c>
      <c r="D21" s="6">
        <v>23</v>
      </c>
      <c r="E21" s="5">
        <v>13004</v>
      </c>
      <c r="F21" s="5">
        <v>9371</v>
      </c>
      <c r="G21" s="23">
        <f t="shared" si="0"/>
        <v>0.72062442325438325</v>
      </c>
      <c r="H21" s="5">
        <v>9371</v>
      </c>
      <c r="I21" s="23">
        <f t="shared" si="1"/>
        <v>0.72062442325438325</v>
      </c>
      <c r="J21" s="5">
        <v>22302747</v>
      </c>
      <c r="K21" s="5">
        <v>13102354</v>
      </c>
      <c r="L21" s="23">
        <f t="shared" si="2"/>
        <v>0.58747713902686516</v>
      </c>
      <c r="M21" s="5" t="s">
        <v>140</v>
      </c>
      <c r="N21" s="23"/>
      <c r="O21" s="4" t="s">
        <v>141</v>
      </c>
      <c r="P21" s="4" t="s">
        <v>142</v>
      </c>
      <c r="Q21" s="6" t="s">
        <v>143</v>
      </c>
      <c r="R21" s="4" t="s">
        <v>140</v>
      </c>
      <c r="S21" s="4" t="s">
        <v>144</v>
      </c>
      <c r="T21" s="4" t="s">
        <v>144</v>
      </c>
    </row>
    <row r="22" spans="1:20" x14ac:dyDescent="0.35">
      <c r="A22" s="3">
        <v>21</v>
      </c>
      <c r="B22" s="3" t="s">
        <v>135</v>
      </c>
      <c r="C22" s="4">
        <v>20</v>
      </c>
      <c r="D22" s="4">
        <v>20</v>
      </c>
      <c r="E22" s="5">
        <v>6857</v>
      </c>
      <c r="F22" s="5">
        <v>6014</v>
      </c>
      <c r="G22" s="23">
        <f t="shared" si="0"/>
        <v>0.8770599387487239</v>
      </c>
      <c r="H22" s="5">
        <v>1731</v>
      </c>
      <c r="I22" s="23">
        <f t="shared" si="1"/>
        <v>0.25244275922415049</v>
      </c>
      <c r="J22" s="5">
        <v>6000000</v>
      </c>
      <c r="K22" s="5">
        <v>5520000</v>
      </c>
      <c r="L22" s="23">
        <f t="shared" si="2"/>
        <v>0.92</v>
      </c>
      <c r="M22" s="5">
        <v>925732</v>
      </c>
      <c r="N22" s="23">
        <f>M22/J22</f>
        <v>0.15428866666666666</v>
      </c>
      <c r="O22" s="4" t="s">
        <v>94</v>
      </c>
      <c r="P22" s="4" t="s">
        <v>136</v>
      </c>
      <c r="Q22" s="8" t="s">
        <v>137</v>
      </c>
      <c r="R22" s="4">
        <v>5000</v>
      </c>
      <c r="S22" s="4" t="s">
        <v>49</v>
      </c>
      <c r="T22" s="6" t="s">
        <v>138</v>
      </c>
    </row>
    <row r="23" spans="1:20" x14ac:dyDescent="0.35">
      <c r="A23" s="3">
        <v>22</v>
      </c>
      <c r="B23" s="3" t="s">
        <v>147</v>
      </c>
      <c r="C23" s="3"/>
      <c r="D23" s="3"/>
      <c r="E23" s="3"/>
      <c r="F23" s="3"/>
      <c r="G23" s="3"/>
      <c r="H23" s="32"/>
      <c r="I23" s="3"/>
      <c r="J23" s="3"/>
      <c r="K23" s="3"/>
      <c r="L23" s="3"/>
      <c r="M23" s="32"/>
      <c r="N23" s="3"/>
      <c r="O23" s="3"/>
      <c r="P23" s="3"/>
      <c r="Q23" s="3"/>
      <c r="R23" s="3"/>
      <c r="S23" s="3"/>
      <c r="T23" s="3"/>
    </row>
    <row r="24" spans="1:20" x14ac:dyDescent="0.35">
      <c r="A24" s="3">
        <v>23</v>
      </c>
      <c r="B24" s="3" t="s">
        <v>146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35">
      <c r="A25" s="3">
        <v>24</v>
      </c>
      <c r="B25" s="3" t="s">
        <v>149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35">
      <c r="A26" s="3">
        <v>25</v>
      </c>
      <c r="B26" s="3" t="s">
        <v>148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35">
      <c r="A27" s="3">
        <v>26</v>
      </c>
      <c r="B27" s="3" t="s">
        <v>50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35">
      <c r="A28" s="3">
        <v>27</v>
      </c>
      <c r="B28" s="3" t="s">
        <v>145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</sheetData>
  <autoFilter ref="A1:T22" xr:uid="{96226122-D1D1-4526-B9A1-29B204166980}">
    <sortState xmlns:xlrd2="http://schemas.microsoft.com/office/spreadsheetml/2017/richdata2" ref="A2:T22">
      <sortCondition sortBy="cellColor" ref="O1:O22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Updated</vt:lpstr>
      <vt:lpstr>Sheet2</vt:lpstr>
      <vt:lpstr>Sheet1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Saral Bansal</dc:creator>
  <cp:keywords/>
  <dc:description/>
  <cp:lastModifiedBy>Tanya Makkar</cp:lastModifiedBy>
  <cp:revision/>
  <dcterms:created xsi:type="dcterms:W3CDTF">2025-12-01T05:54:09Z</dcterms:created>
  <dcterms:modified xsi:type="dcterms:W3CDTF">2026-01-14T05:17:50Z</dcterms:modified>
  <cp:category/>
  <cp:contentStatus/>
</cp:coreProperties>
</file>